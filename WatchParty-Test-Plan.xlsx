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Regression" state="visible" r:id="rId5"/>
    <sheet sheetId="3" name="Summary" state="visible" r:id="rId6"/>
  </sheets>
  <calcPr calcId="0" fullCalcOnLoad="1"/>
</workbook>
</file>

<file path=xl/sharedStrings.xml><?xml version="1.0" encoding="utf-8"?>
<sst xmlns="http://schemas.openxmlformats.org/spreadsheetml/2006/main" count="1263" uniqueCount="531">
  <si>
    <t>ID</t>
  </si>
  <si>
    <t>Area</t>
  </si>
  <si>
    <t>Pri</t>
  </si>
  <si>
    <t>Precondition</t>
  </si>
  <si>
    <t>Steps</t>
  </si>
  <si>
    <t>Expected result</t>
  </si>
  <si>
    <t>Chrome</t>
  </si>
  <si>
    <t>Edge</t>
  </si>
  <si>
    <t>Firefox</t>
  </si>
  <si>
    <t>Notes / actual</t>
  </si>
  <si>
    <t>S-01</t>
  </si>
  <si>
    <t>Setup</t>
  </si>
  <si>
    <t>P1</t>
  </si>
  <si>
    <t>Fresh clone with .env filled in</t>
  </si>
  <si>
    <t>Run `npm run build`</t>
  </si>
  <si>
    <t>Build completes with no TypeScript errors; dist/ contains manifest.json, icons/ and assets/</t>
  </si>
  <si>
    <t/>
  </si>
  <si>
    <t>S-02</t>
  </si>
  <si>
    <t>dist/ built</t>
  </si>
  <si>
    <t>chrome://extensions → Developer mode → Load unpacked → select dist/</t>
  </si>
  <si>
    <t>Extension loads showing the purple play icon; no manifest errors</t>
  </si>
  <si>
    <t>S-03</t>
  </si>
  <si>
    <t>firestore.rules NOT yet deployed</t>
  </si>
  <si>
    <t>Open a room and try to send a chat message</t>
  </si>
  <si>
    <t>Service-worker console logs 'chat subscription FAILED'; widget shows 'Chat unavailable (permission denied)'</t>
  </si>
  <si>
    <t>S-04</t>
  </si>
  <si>
    <t>firestore.rules published in the Firebase console</t>
  </si>
  <si>
    <t>Reload the extension, open a room, send a message</t>
  </si>
  <si>
    <t>Message appears; no permission errors in the service-worker console</t>
  </si>
  <si>
    <t>S-05</t>
  </si>
  <si>
    <t>P2</t>
  </si>
  <si>
    <t>Admin seeded manually per README step 4</t>
  </si>
  <si>
    <t>Sign in as the seeded admin</t>
  </si>
  <si>
    <t>Popup shows the admin's name, role 'admin', and the Rooms / Users tabs</t>
  </si>
  <si>
    <t>A-01</t>
  </si>
  <si>
    <t>Auth</t>
  </si>
  <si>
    <t>Admin signed in</t>
  </si>
  <si>
    <t>Users tab → create user1 (role: user) with a temp password</t>
  </si>
  <si>
    <t>Success message; users/{uid} doc created with role "user"</t>
  </si>
  <si>
    <t>A-02</t>
  </si>
  <si>
    <t>Admin creating a user</t>
  </si>
  <si>
    <t>Immediately after creating, check the popup header</t>
  </si>
  <si>
    <t>Admin REMAINS signed in as admin (not switched to the new account)</t>
  </si>
  <si>
    <t>A-03</t>
  </si>
  <si>
    <t>user1 exists</t>
  </si>
  <si>
    <t>Sign in as user1 in a second browser profile</t>
  </si>
  <si>
    <t>Login succeeds; no Users tab is shown for a non-admin</t>
  </si>
  <si>
    <t>A-04</t>
  </si>
  <si>
    <t>Signed out</t>
  </si>
  <si>
    <t>Attempt login with a wrong password</t>
  </si>
  <si>
    <t>Friendly 'Incorrect email or password.' — not a raw Firebase error code</t>
  </si>
  <si>
    <t>A-05</t>
  </si>
  <si>
    <t>Auth account exists but has no users/{uid} doc</t>
  </si>
  <si>
    <t>Attempt to sign in with it</t>
  </si>
  <si>
    <t>Rejected with 'No profile found for this account.' and signed back out</t>
  </si>
  <si>
    <t>A-06</t>
  </si>
  <si>
    <t>Signed in as any user</t>
  </si>
  <si>
    <t>Click Sign out in the popup header</t>
  </si>
  <si>
    <t>Returns to the login view immediately</t>
  </si>
  <si>
    <t>A-07</t>
  </si>
  <si>
    <t>P3</t>
  </si>
  <si>
    <t>Signed in as admin</t>
  </si>
  <si>
    <t>Confirm Sign out is present for the admin role too</t>
  </si>
  <si>
    <t>Sign out appears top-right for admin, same as for a normal user</t>
  </si>
  <si>
    <t>RC-01</t>
  </si>
  <si>
    <t>Room creation</t>
  </si>
  <si>
    <t>Signed in; page open with a plain HTML5 &lt;video&gt;</t>
  </si>
  <si>
    <t>Click 'Create a room (pick a video)', then hover the page</t>
  </si>
  <si>
    <t>Videos outline in purple with a '&lt;video&gt; WxH' label; non-video elements are not selectable</t>
  </si>
  <si>
    <t>RC-02</t>
  </si>
  <si>
    <t>Picker overlay active</t>
  </si>
  <si>
    <t>Press Esc</t>
  </si>
  <si>
    <t>Overlay closes; no room is created</t>
  </si>
  <si>
    <t>RC-03</t>
  </si>
  <si>
    <t>Click the video</t>
  </si>
  <si>
    <t>Popup shows the confirm screen with page URL, selector and start time</t>
  </si>
  <si>
    <t>RC-04</t>
  </si>
  <si>
    <t>Confirm screen open</t>
  </si>
  <si>
    <t>Type a room name then wait ~5s without submitting</t>
  </si>
  <si>
    <t>The typed name is NOT wiped by the popup's background polling</t>
  </si>
  <si>
    <t>RC-05</t>
  </si>
  <si>
    <t>Confirm screen, name entered, visibility Public</t>
  </si>
  <si>
    <t>Click 'Create &amp; host room'</t>
  </si>
  <si>
    <t>Room doc created; popup switches to the in-room view; widget appears on the page</t>
  </si>
  <si>
    <t>RC-06</t>
  </si>
  <si>
    <t>Page whose player sits in a cross-origin iframe</t>
  </si>
  <si>
    <t>Create a room and click the video inside the embedded player</t>
  </si>
  <si>
    <t>Selector captured from the iframe; confirm screen shows an 'Embedded player' origin</t>
  </si>
  <si>
    <t>RC-07</t>
  </si>
  <si>
    <t>Room created from an iframe player</t>
  </si>
  <si>
    <t>Inspect the room doc in Firestore</t>
  </si>
  <si>
    <t>pageUrl is the TOP-LEVEL page URL (not the embed URL); frameOrigin holds the embed origin</t>
  </si>
  <si>
    <t>RC-08</t>
  </si>
  <si>
    <t>Page with no video at all</t>
  </si>
  <si>
    <t>Click 'Create a room'</t>
  </si>
  <si>
    <t>Clear message that no playable video was found; no room created</t>
  </si>
  <si>
    <t>RC-09</t>
  </si>
  <si>
    <t>Tab opened BEFORE the extension was loaded/reloaded</t>
  </si>
  <si>
    <t>Click 'Create a room' without refreshing</t>
  </si>
  <si>
    <t>Message advising a refresh; after refreshing, the picker works</t>
  </si>
  <si>
    <t>RC-10</t>
  </si>
  <si>
    <t>Video already PLAYING when picked</t>
  </si>
  <si>
    <t>Create the room, then inspect rooms/{id}.playback</t>
  </si>
  <si>
    <t>isPlaying is true and currentTime reflects the real position, not the creation placeholder</t>
  </si>
  <si>
    <t>J-01</t>
  </si>
  <si>
    <t>Join</t>
  </si>
  <si>
    <t>user1 hosting an active room; user2 signed in elsewhere</t>
  </si>
  <si>
    <t>As user2, open the popup</t>
  </si>
  <si>
    <t>Room listed under 'Active rooms' with a green live dot and the host's name</t>
  </si>
  <si>
    <t>J-02</t>
  </si>
  <si>
    <t>user2 can see the active room</t>
  </si>
  <si>
    <t>Click Join</t>
  </si>
  <si>
    <t>user2's tab navigates to the room's page URL and the widget appears</t>
  </si>
  <si>
    <t>J-03</t>
  </si>
  <si>
    <t>user2 has just joined</t>
  </si>
  <si>
    <t>Check the role on the widget and in the popup</t>
  </si>
  <si>
    <t>user2 is VIEWER and the host stays HOST (a joiner must NOT become host)</t>
  </si>
  <si>
    <t>J-04</t>
  </si>
  <si>
    <t>user2 joins a room</t>
  </si>
  <si>
    <t>Watch the host's service-worker console</t>
  </si>
  <si>
    <t>Logs 'new member joined → REQUEST_STATE to owner'; the host republishes its position</t>
  </si>
  <si>
    <t>J-05</t>
  </si>
  <si>
    <t>Host is mid-video (e.g. 10:00) when user2 joins</t>
  </si>
  <si>
    <t>Complete the join and click the join gate</t>
  </si>
  <si>
    <t>user2 resumes near 10:00, not from 0:00</t>
  </si>
  <si>
    <t>J-06</t>
  </si>
  <si>
    <t>Room is no longer active</t>
  </si>
  <si>
    <t>Attempt to join it from a stale popup list</t>
  </si>
  <si>
    <t>Error 'This room is no longer active.'; no session created</t>
  </si>
  <si>
    <t>PS-01</t>
  </si>
  <si>
    <t>Playback sync</t>
  </si>
  <si>
    <t>Host and viewer attached and playing</t>
  </si>
  <si>
    <t>Host presses pause</t>
  </si>
  <si>
    <t>Viewer pauses within ~1s</t>
  </si>
  <si>
    <t>PS-02</t>
  </si>
  <si>
    <t>Host and viewer attached and paused</t>
  </si>
  <si>
    <t>Host presses play</t>
  </si>
  <si>
    <t>Viewer plays within ~1s</t>
  </si>
  <si>
    <t>PS-03</t>
  </si>
  <si>
    <t>Host and viewer attached</t>
  </si>
  <si>
    <t>Host seeks to a different position</t>
  </si>
  <si>
    <t>Viewer jumps to match within ~1s</t>
  </si>
  <si>
    <t>PS-04</t>
  </si>
  <si>
    <t>Host PAUSED, viewer's video playing (deliberately out of step)</t>
  </si>
  <si>
    <t>Host presses pause again, or the viewer clicks Sync with host</t>
  </si>
  <si>
    <t>Viewer PAUSES to follow the host — it must not toggle to the opposite state</t>
  </si>
  <si>
    <t>PS-05</t>
  </si>
  <si>
    <t>Host and viewer in sync, nobody touching controls</t>
  </si>
  <si>
    <t>Leave both playing 2–3 minutes and watch the viewer</t>
  </si>
  <si>
    <t>Viewer does NOT jump or re-seek periodically (no 8–12s seek loop)</t>
  </si>
  <si>
    <t>PS-06</t>
  </si>
  <si>
    <t>Viewer has drifted from the host</t>
  </si>
  <si>
    <t>Viewer clicks 'Sync with host'</t>
  </si>
  <si>
    <t>Viewer jumps to the host's projected position; button flashes 'Synced'</t>
  </si>
  <si>
    <t>PS-07</t>
  </si>
  <si>
    <t>Host attached</t>
  </si>
  <si>
    <t>Check the host's widget for a 'Sync with host' button</t>
  </si>
  <si>
    <t>The button is shown to viewers only</t>
  </si>
  <si>
    <t>PS-08</t>
  </si>
  <si>
    <t>Viewer attached</t>
  </si>
  <si>
    <t>Viewer pauses their own video locally</t>
  </si>
  <si>
    <t>Host and other viewers are unaffected (viewers never publish playback)</t>
  </si>
  <si>
    <t>PS-09</t>
  </si>
  <si>
    <t>Host changes playback rate</t>
  </si>
  <si>
    <t>Viewer's rate matches</t>
  </si>
  <si>
    <t>Autoplay</t>
  </si>
  <si>
    <t>Viewer joins a room where the host is playing</t>
  </si>
  <si>
    <t>Observe the page before interacting</t>
  </si>
  <si>
    <t>A 'Click to start watching together' gate is shown</t>
  </si>
  <si>
    <t>Join gate visible, host is PAUSED</t>
  </si>
  <si>
    <t>Click the join gate</t>
  </si>
  <si>
    <t>Video does NOT start playing — it mirrors the paused host</t>
  </si>
  <si>
    <t>Join gate visible, host is PLAYING</t>
  </si>
  <si>
    <t>Video plays with audio, in sync with the host</t>
  </si>
  <si>
    <t>Sync begins before any user gesture</t>
  </si>
  <si>
    <t>Watch the page console</t>
  </si>
  <si>
    <t>Logs the autoplay block then 'play() ok (muted fallback)'; a 'Muted — click to unmute' chip appears</t>
  </si>
  <si>
    <t>Muted fallback chip visible</t>
  </si>
  <si>
    <t>Click the chip</t>
  </si>
  <si>
    <t>Audio unmutes and the chip disappears</t>
  </si>
  <si>
    <t>A DRM / protected player</t>
  </si>
  <si>
    <t>Join and observe</t>
  </si>
  <si>
    <t>No 'cannot be controlled automatically' alert (it was removed); failures are console-only</t>
  </si>
  <si>
    <t>O-01</t>
  </si>
  <si>
    <t>Ownership</t>
  </si>
  <si>
    <t>Host and one viewer in a room</t>
  </si>
  <si>
    <t>Host closes their tab</t>
  </si>
  <si>
    <t>Ownership passes to the viewer within ~1s; their badge flips to HOST</t>
  </si>
  <si>
    <t>O-02</t>
  </si>
  <si>
    <t>Host refreshes the page</t>
  </si>
  <si>
    <t>Ownership passes to the viewer, then returns to the original host once their page reloads</t>
  </si>
  <si>
    <t>O-03</t>
  </si>
  <si>
    <t>Original host left; viewer now hosts and is at 20:00</t>
  </si>
  <si>
    <t>Original host rejoins the room</t>
  </si>
  <si>
    <t>Original host reclaims HOST and lands at ~20:00 — nobody is reset to 0:00</t>
  </si>
  <si>
    <t>O-04</t>
  </si>
  <si>
    <t>Host with two viewers</t>
  </si>
  <si>
    <t>Host clicks 'Make host' next to viewer B</t>
  </si>
  <si>
    <t>B becomes HOST, the old host becomes VIEWER, and playback is not disrupted</t>
  </si>
  <si>
    <t>O-05</t>
  </si>
  <si>
    <t>Ownership was manually transferred to viewer B</t>
  </si>
  <si>
    <t>Original host leaves and rejoins</t>
  </si>
  <si>
    <t>Original host does NOT reclaim — B stays host (manual transfer is durable)</t>
  </si>
  <si>
    <t>O-06</t>
  </si>
  <si>
    <t>Viewer in a room</t>
  </si>
  <si>
    <t>Check for 'Make host' buttons</t>
  </si>
  <si>
    <t>Only the current host can transfer ownership</t>
  </si>
  <si>
    <t>O-07</t>
  </si>
  <si>
    <t>Primary owner is present as a viewer; acting host leaves</t>
  </si>
  <si>
    <t>Observe the promotion</t>
  </si>
  <si>
    <t>The primary (original) owner is promoted ahead of join order</t>
  </si>
  <si>
    <t>O-08</t>
  </si>
  <si>
    <t>Last member in a room</t>
  </si>
  <si>
    <t>Leave the room</t>
  </si>
  <si>
    <t>Room flips isActive:false and drops out of 'Active rooms'</t>
  </si>
  <si>
    <t>P-01</t>
  </si>
  <si>
    <t>Presence</t>
  </si>
  <si>
    <t>Host alone in a room</t>
  </si>
  <si>
    <t>Watch the widget for 60+ seconds without interacting</t>
  </si>
  <si>
    <t>Shows 1 watching; the room does NOT disconnect after ~10s</t>
  </si>
  <si>
    <t>P-02</t>
  </si>
  <si>
    <t>Host plus two viewers</t>
  </si>
  <si>
    <t>Check the watcher count on each widget</t>
  </si>
  <si>
    <t>All three show 3 watching</t>
  </si>
  <si>
    <t>P-03</t>
  </si>
  <si>
    <t>Host plus one viewer</t>
  </si>
  <si>
    <t>Viewer closes their tab; watch the host's count</t>
  </si>
  <si>
    <t>Count drops to 1 within ~10s</t>
  </si>
  <si>
    <t>P-04</t>
  </si>
  <si>
    <t>Switch to another browser tab for 6+ minutes, then return</t>
  </si>
  <si>
    <t>Viewer is still counted; no spurious ownership handoff happened while hidden</t>
  </si>
  <si>
    <t>P-05</t>
  </si>
  <si>
    <t>Been in room A, then join room B</t>
  </si>
  <si>
    <t>Check the watcher count immediately on joining B</t>
  </si>
  <si>
    <t>Count reflects room B only — room A's number never appears</t>
  </si>
  <si>
    <t>P-06</t>
  </si>
  <si>
    <t>Machine clock deliberately set a few minutes fast</t>
  </si>
  <si>
    <t>Join a room and observe</t>
  </si>
  <si>
    <t>Presence still works; members are not all judged stale (clock-skew immune)</t>
  </si>
  <si>
    <t>L-01</t>
  </si>
  <si>
    <t>Lifecycle</t>
  </si>
  <si>
    <t>Brand-new user who has never joined a room</t>
  </si>
  <si>
    <t>Sign in and open the popup</t>
  </si>
  <si>
    <t>History is EMPTY — it must not list every room ever created</t>
  </si>
  <si>
    <t>L-02</t>
  </si>
  <si>
    <t>User created/joined 3 rooms which have since ended</t>
  </si>
  <si>
    <t>Expand History in the popup</t>
  </si>
  <si>
    <t>Exactly those 3 are listed, with a visible gap between the header and the list</t>
  </si>
  <si>
    <t>L-03</t>
  </si>
  <si>
    <t>User has 12+ ended rooms in their history</t>
  </si>
  <si>
    <t>Expand History</t>
  </si>
  <si>
    <t>Only 10 are listed, plus a 'View all N rooms' button</t>
  </si>
  <si>
    <t>L-04</t>
  </si>
  <si>
    <t>A room you attended is currently live</t>
  </si>
  <si>
    <t>Check both sections of the popup</t>
  </si>
  <si>
    <t>It appears under 'Active rooms' only — not duplicated in History</t>
  </si>
  <si>
    <t>L-05</t>
  </si>
  <si>
    <t>Host closes the browser entirely without leaving</t>
  </si>
  <si>
    <t>Wait ~30s then check another user's popup</t>
  </si>
  <si>
    <t>The room falls out of 'Active rooms' on its own (self-expiring liveness)</t>
  </si>
  <si>
    <t>L-06</t>
  </si>
  <si>
    <t>History entry visible</t>
  </si>
  <si>
    <t>Read the metadata line</t>
  </si>
  <si>
    <t>Shows when you last watched and when the room was created</t>
  </si>
  <si>
    <t>C-01</t>
  </si>
  <si>
    <t>Chat</t>
  </si>
  <si>
    <t>Two users in a room with chat open</t>
  </si>
  <si>
    <t>User A sends a message</t>
  </si>
  <si>
    <t>It appears in B's chat within ~1s</t>
  </si>
  <si>
    <t>C-02</t>
  </si>
  <si>
    <t>A room with existing messages</t>
  </si>
  <si>
    <t>A NEW user joins and opens chat</t>
  </si>
  <si>
    <t>Existing history is visible IMMEDIATELY, not only after they send one</t>
  </si>
  <si>
    <t>C-03</t>
  </si>
  <si>
    <t>Any message sent</t>
  </si>
  <si>
    <t>Open Firestore console → rooms/{id}/messages</t>
  </si>
  <si>
    <t>Body is ciphertext (iv + ct); the plain text is not readable anywhere</t>
  </si>
  <si>
    <t>C-04</t>
  </si>
  <si>
    <t>Chat panel open</t>
  </si>
  <si>
    <t>Type a long message and let another arrive mid-typing</t>
  </si>
  <si>
    <t>Your draft text and cursor position survive</t>
  </si>
  <si>
    <t>C-05</t>
  </si>
  <si>
    <t>Chat open, scrolled up reading older messages</t>
  </si>
  <si>
    <t>A new message arrives</t>
  </si>
  <si>
    <t>The view stays where you scrolled — no forced jump to the bottom</t>
  </si>
  <si>
    <t>C-06</t>
  </si>
  <si>
    <t>Chat input focused on a site with keyboard shortcuts</t>
  </si>
  <si>
    <t>Type text containing spaces and arrow keys</t>
  </si>
  <si>
    <t>The video does not play/pause/seek from your typing</t>
  </si>
  <si>
    <t>C-07</t>
  </si>
  <si>
    <t>Chat panel opened</t>
  </si>
  <si>
    <t>Compare against the collapsed state</t>
  </si>
  <si>
    <t>The panel is noticeably larger to fit the transcript</t>
  </si>
  <si>
    <t>PR-01</t>
  </si>
  <si>
    <t>Private rooms</t>
  </si>
  <si>
    <t>Creating a room</t>
  </si>
  <si>
    <t>Choose Visibility: Private and set a passphrase</t>
  </si>
  <si>
    <t>Room created; Firestore holds chatSalt + chatCheck but NO chatKey</t>
  </si>
  <si>
    <t>PR-02</t>
  </si>
  <si>
    <t>A private room exists</t>
  </si>
  <si>
    <t>Another user clicks Join</t>
  </si>
  <si>
    <t>An inline passphrase prompt appears on that row; the room shows a lock icon</t>
  </si>
  <si>
    <t>PR-03</t>
  </si>
  <si>
    <t>Passphrase prompt shown</t>
  </si>
  <si>
    <t>Enter the WRONG passphrase</t>
  </si>
  <si>
    <t>'Incorrect passphrase.' is shown and the room is not joined</t>
  </si>
  <si>
    <t>PR-04</t>
  </si>
  <si>
    <t>Enter the CORRECT passphrase</t>
  </si>
  <si>
    <t>Room is joined and chat decrypts correctly</t>
  </si>
  <si>
    <t>PR-05</t>
  </si>
  <si>
    <t>Joined a private room once already</t>
  </si>
  <si>
    <t>Leave and rejoin in the same browser session</t>
  </si>
  <si>
    <t>No passphrase re-prompt (cached in session storage)</t>
  </si>
  <si>
    <t>PR-06</t>
  </si>
  <si>
    <t>Joined a private room</t>
  </si>
  <si>
    <t>Close the browser completely, reopen, rejoin</t>
  </si>
  <si>
    <t>Passphrase is requested again (session-only cache)</t>
  </si>
  <si>
    <t>R-01</t>
  </si>
  <si>
    <t>Reactions</t>
  </si>
  <si>
    <t>Widget minimized</t>
  </si>
  <si>
    <t>Click the reaction button beside the pill</t>
  </si>
  <si>
    <t>An emoji grid opens above the pill; the widget stays minimized</t>
  </si>
  <si>
    <t>R-02</t>
  </si>
  <si>
    <t>Emoji grid open</t>
  </si>
  <si>
    <t>Select an emoji</t>
  </si>
  <si>
    <t>It is sent as a chat message and the picker closes</t>
  </si>
  <si>
    <t>R-03</t>
  </si>
  <si>
    <t>Recipient's widget is MINIMIZED</t>
  </si>
  <si>
    <t>Another user sends a reaction</t>
  </si>
  <si>
    <t>A popup with the emoji and sender name appears above the widget for ~3s then fades</t>
  </si>
  <si>
    <t>R-04</t>
  </si>
  <si>
    <t>Recipient has the CHAT PANEL OPEN</t>
  </si>
  <si>
    <t>No popup — it simply appears in the message list</t>
  </si>
  <si>
    <t>R-05</t>
  </si>
  <si>
    <t>You send a reaction yourself</t>
  </si>
  <si>
    <t>Observe your own widget</t>
  </si>
  <si>
    <t>No popup is shown for your own reaction</t>
  </si>
  <si>
    <t>R-06</t>
  </si>
  <si>
    <t>Several reactions sent in quick succession</t>
  </si>
  <si>
    <t>Observe the popups</t>
  </si>
  <si>
    <t>They stack neatly and are capped — no runaway pile</t>
  </si>
  <si>
    <t>T-01</t>
  </si>
  <si>
    <t>Timestamps</t>
  </si>
  <si>
    <t>In a room with a video of known length</t>
  </si>
  <si>
    <t>Send a chat message containing '12:34'</t>
  </si>
  <si>
    <t>12:34 renders as a highlighted, clickable pill</t>
  </si>
  <si>
    <t>T-02</t>
  </si>
  <si>
    <t>A timestamp pill is shown</t>
  </si>
  <si>
    <t>Click it</t>
  </si>
  <si>
    <t>Video jumps to that position; the pill briefly flashes green</t>
  </si>
  <si>
    <t>T-03</t>
  </si>
  <si>
    <t>HOST clicks a timestamp pill</t>
  </si>
  <si>
    <t>Observe the viewers</t>
  </si>
  <si>
    <t>All viewers follow to that position</t>
  </si>
  <si>
    <t>T-04</t>
  </si>
  <si>
    <t>VIEWER clicks a timestamp pill</t>
  </si>
  <si>
    <t>Observe the host</t>
  </si>
  <si>
    <t>Only the viewer jumps; host and other viewers are unaffected</t>
  </si>
  <si>
    <t>T-05</t>
  </si>
  <si>
    <t>Video is ~22 minutes long</t>
  </si>
  <si>
    <t>Send messages containing '99:99' and '5:00:00'</t>
  </si>
  <si>
    <t>Neither becomes clickable (invalid / beyond length); both stay plain text</t>
  </si>
  <si>
    <t>T-06</t>
  </si>
  <si>
    <t>Formats to check</t>
  </si>
  <si>
    <t>Send '4:20', '04:20' and '1:02:03'</t>
  </si>
  <si>
    <t>All three are recognised and clickable</t>
  </si>
  <si>
    <t>W-01</t>
  </si>
  <si>
    <t>Widget</t>
  </si>
  <si>
    <t>In a room</t>
  </si>
  <si>
    <t>Look at the minimized widget</t>
  </si>
  <si>
    <t>Shows a HOST or VIEWER chip, the room name and the watcher count without expanding</t>
  </si>
  <si>
    <t>W-02</t>
  </si>
  <si>
    <t>Video is inside a cross-origin iframe</t>
  </si>
  <si>
    <t>Look at where the widget sits</t>
  </si>
  <si>
    <t>Floats over the whole page (bottom-right), not clipped inside the player</t>
  </si>
  <si>
    <t>W-03</t>
  </si>
  <si>
    <t>Click the pill</t>
  </si>
  <si>
    <t>Expands to show role, host, watcher count, play state and actions</t>
  </si>
  <si>
    <t>W-04</t>
  </si>
  <si>
    <t>Widget expanded</t>
  </si>
  <si>
    <t>Click the Dashboard button</t>
  </si>
  <si>
    <t>The dashboard opens in a NEW TAB</t>
  </si>
  <si>
    <t>W-05</t>
  </si>
  <si>
    <t>Click Leave</t>
  </si>
  <si>
    <t>Session ends, widget disappears, and ownership hands off if others remain</t>
  </si>
  <si>
    <t>W-06</t>
  </si>
  <si>
    <t>A room on a page with heavy global CSS</t>
  </si>
  <si>
    <t>Inspect the widget's appearance</t>
  </si>
  <si>
    <t>Styling is unaffected by the host page (shadow DOM isolation)</t>
  </si>
  <si>
    <t>W-07</t>
  </si>
  <si>
    <t>Ownership handed to you mid-session</t>
  </si>
  <si>
    <t>Watch the widget without reopening it</t>
  </si>
  <si>
    <t>The chip changes from VIEWER to HOST by itself</t>
  </si>
  <si>
    <t>D-01</t>
  </si>
  <si>
    <t>Dashboard</t>
  </si>
  <si>
    <t>Signed in with some history</t>
  </si>
  <si>
    <t>Open the dashboard from the widget or 'View all'</t>
  </si>
  <si>
    <t>Full-page layout with Active / Favourites / History / Settings tabs</t>
  </si>
  <si>
    <t>D-02</t>
  </si>
  <si>
    <t>History has 25+ entries</t>
  </si>
  <si>
    <t>Open the History tab</t>
  </si>
  <si>
    <t>20 per page with working Previous / Next pagination</t>
  </si>
  <si>
    <t>D-03</t>
  </si>
  <si>
    <t>Click its star</t>
  </si>
  <si>
    <t>Added to Favourites and the star fills</t>
  </si>
  <si>
    <t>D-04</t>
  </si>
  <si>
    <t>A favourite exists</t>
  </si>
  <si>
    <t>Open the Favourites tab</t>
  </si>
  <si>
    <t>The starred room is listed there</t>
  </si>
  <si>
    <t>D-05</t>
  </si>
  <si>
    <t>Any room card</t>
  </si>
  <si>
    <t>Read the two dates</t>
  </si>
  <si>
    <t>Shows 'Room created' (date) and 'You last watched' (date + time)</t>
  </si>
  <si>
    <t>D-06</t>
  </si>
  <si>
    <t>Chat beep ON, a room open in another tab</t>
  </si>
  <si>
    <t>Settings → untick Chat sound, then have someone send a message</t>
  </si>
  <si>
    <t>No beep plays, and the change applies without reopening the room</t>
  </si>
  <si>
    <t>D-07</t>
  </si>
  <si>
    <t>Open the dashboard</t>
  </si>
  <si>
    <t>Prompts you to sign in via the popup rather than erroring</t>
  </si>
  <si>
    <t>D-08</t>
  </si>
  <si>
    <t>Click Remove</t>
  </si>
  <si>
    <t>The entry disappears from your history only</t>
  </si>
  <si>
    <t>EH-01</t>
  </si>
  <si>
    <t>Error handling</t>
  </si>
  <si>
    <t>Room whose stored selector no longer matches</t>
  </si>
  <si>
    <t>Join the room</t>
  </si>
  <si>
    <t>Falls back to the most plausible video on the page rather than failing</t>
  </si>
  <si>
    <t>EH-02</t>
  </si>
  <si>
    <t>Site that only creates &lt;video&gt; after you press play</t>
  </si>
  <si>
    <t>Join, read the error, press play on the site, then click Retry</t>
  </si>
  <si>
    <t>Attaches successfully after Retry</t>
  </si>
  <si>
    <t>EH-03</t>
  </si>
  <si>
    <t>Video genuinely absent</t>
  </si>
  <si>
    <t>Join and read the message</t>
  </si>
  <si>
    <t>"Couldn't find the video. Start playback on the page, then press Retry." with a Retry button</t>
  </si>
  <si>
    <t>EH-04</t>
  </si>
  <si>
    <t>Player inside a shadow DOM</t>
  </si>
  <si>
    <t>The video is still found (shadow roots are searched)</t>
  </si>
  <si>
    <t>EH-05</t>
  </si>
  <si>
    <t>Service worker suspended (shows 'inactive' on the extensions page)</t>
  </si>
  <si>
    <t>Interact with the room again</t>
  </si>
  <si>
    <t>The session recovers and playback sync resumes</t>
  </si>
  <si>
    <t>Cross-browser</t>
  </si>
  <si>
    <t>Run `npm run build:firefox`, load dist-firefox/manifest.json via about:debugging</t>
  </si>
  <si>
    <t>Loads with no manifest errors (background is an event page, not a service worker)</t>
  </si>
  <si>
    <t>Firefox, extension just loaded</t>
  </si>
  <si>
    <t>Try to create a room BEFORE granting host permissions</t>
  </si>
  <si>
    <t>Fails as expected; after granting 'Access your data for all websites' it works</t>
  </si>
  <si>
    <t>Firefox with host permissions granted</t>
  </si>
  <si>
    <t>Create a room, join from Chrome, then play/pause/seek</t>
  </si>
  <si>
    <t>Sync works cross-browser between Firefox and Chrome</t>
  </si>
  <si>
    <t>Load dist/ via edge://extensions and run the core flow</t>
  </si>
  <si>
    <t>Behaves identically to Chrome</t>
  </si>
  <si>
    <t>Exercise chat, reactions and the dashboard</t>
  </si>
  <si>
    <t>All work; no callback-vs-promise API errors in the console</t>
  </si>
  <si>
    <t>Bug that was fixed</t>
  </si>
  <si>
    <t>Root cause</t>
  </si>
  <si>
    <t>How to verify it stays fixed</t>
  </si>
  <si>
    <t>REG-01</t>
  </si>
  <si>
    <t>Room disconnected after ~10 seconds</t>
  </si>
  <si>
    <t>A sole owner judged itself stale, pruned its own membership and deactivated the room; freshness compared a server timestamp against the local clock</t>
  </si>
  <si>
    <t>Host a room alone and idle for 2 minutes — it must stay connected</t>
  </si>
  <si>
    <t>REG-02</t>
  </si>
  <si>
    <t>Viewer joined but never synced at all</t>
  </si>
  <si>
    <t>Join navigation closed the old page's port, which was read as leaving, tearing down the session that had just been created</t>
  </si>
  <si>
    <t>Join as a second user; the viewer must attach and mirror the host</t>
  </si>
  <si>
    <t>REG-03</t>
  </si>
  <si>
    <t>Play/pause inverted between host and viewer</t>
  </si>
  <si>
    <t>apply() dropped incoming state before recording it, so the join gate had nothing to mirror and blind-played instead</t>
  </si>
  <si>
    <t>Start with the host PAUSED, then join — the viewer must stay paused</t>
  </si>
  <si>
    <t>REG-04</t>
  </si>
  <si>
    <t>Viewer re-seeked every 8–12 seconds</t>
  </si>
  <si>
    <t>The 9s room-liveness heartbeat mutated the room doc, re-pushing an unchanged and by-then stale playback anchor</t>
  </si>
  <si>
    <t>Let host and viewer play untouched for 3 minutes — no periodic jumps</t>
  </si>
  <si>
    <t>REG-05</t>
  </si>
  <si>
    <t>Role chip never appeared on the widget</t>
  </si>
  <si>
    <t>The pill was built conditionally before the first ROOM_INFO arrived, so the patch path had no element to fill</t>
  </si>
  <si>
    <t>Join a room — HOST/VIEWER must show on the minimized widget</t>
  </si>
  <si>
    <t>REG-06</t>
  </si>
  <si>
    <t>New viewer saw no chat until they sent a message</t>
  </si>
  <si>
    <t>The first chat snapshot arrived while the tab was still navigating and was dropped; nothing replayed it afterwards</t>
  </si>
  <si>
    <t>Join a room with existing messages — history must show immediately</t>
  </si>
  <si>
    <t>REG-07</t>
  </si>
  <si>
    <t>A user who joined became the host</t>
  </si>
  <si>
    <t>Ownership was reconciled against a cached Firestore snapshot containing only the joiner's own pending write</t>
  </si>
  <si>
    <t>Join an active room — you must stay VIEWER and the host keep HOST</t>
  </si>
  <si>
    <t>REG-08</t>
  </si>
  <si>
    <t>History listed every room ever created</t>
  </si>
  <si>
    <t>The popup derived history from the global rooms collection instead of the per-user history subcollection</t>
  </si>
  <si>
    <t>Sign in as a brand-new user — History must be empty</t>
  </si>
  <si>
    <t>REG-09</t>
  </si>
  <si>
    <t>Returning host reset everyone to 0:00</t>
  </si>
  <si>
    <t>On reclaim the host published its fresh page position (0) instead of adopting the room's current position</t>
  </si>
  <si>
    <t>Leave as host mid-video, let a viewer take over, rejoin — nobody is reset</t>
  </si>
  <si>
    <t>REG-10</t>
  </si>
  <si>
    <t>Popup flashed 'Cannot connect to localhost:5173'</t>
  </si>
  <si>
    <t>The dev-mode build served the popup from the Vite dev server through a redirect stub</t>
  </si>
  <si>
    <t>Use `npm run build` (or `npm run watch`) and reload — no localhost banner</t>
  </si>
  <si>
    <t>REG-11</t>
  </si>
  <si>
    <t>'Video cannot be controlled' alert fired constantly</t>
  </si>
  <si>
    <t>Every rejected play() surfaced a banner, including transient ones</t>
  </si>
  <si>
    <t>Join a DRM/protected player — no alert, console warning only</t>
  </si>
  <si>
    <t>WatchParty Sync — Manual Test Plan</t>
  </si>
  <si>
    <t>Fill in the Chrome / Edge / Firefox columns on the other two sheets. The counts below update automatically.</t>
  </si>
  <si>
    <t>Environment</t>
  </si>
  <si>
    <t>Tester</t>
  </si>
  <si>
    <t>← fill in the yellow cells</t>
  </si>
  <si>
    <t>Date</t>
  </si>
  <si>
    <t>Extension version</t>
  </si>
  <si>
    <t>0.1.0</t>
  </si>
  <si>
    <t>Firebase project</t>
  </si>
  <si>
    <t>firestore.rules deployed? (yes/no)</t>
  </si>
  <si>
    <t>Test page URL</t>
  </si>
  <si>
    <t>Results</t>
  </si>
  <si>
    <t>Metric</t>
  </si>
  <si>
    <t>Functional cases passed</t>
  </si>
  <si>
    <t>Functional cases failed</t>
  </si>
  <si>
    <t>Functional cases blocked</t>
  </si>
  <si>
    <t>Functional not yet run</t>
  </si>
  <si>
    <t>Regression passed</t>
  </si>
  <si>
    <t>Regression failed</t>
  </si>
  <si>
    <t>% functional complete</t>
  </si>
  <si>
    <t>Total functional cases</t>
  </si>
  <si>
    <t>Total regression checks</t>
  </si>
  <si>
    <t>Priority key</t>
  </si>
  <si>
    <t>Core acceptance criteria — must pass before release</t>
  </si>
  <si>
    <t>Important behaviour and error handling</t>
  </si>
  <si>
    <t>Polish / nice-to-have</t>
  </si>
  <si>
    <t>Any multi-user test needs two browser profiles (or two machines) so the Firebase sessions are independent.</t>
  </si>
  <si>
    <t>Deploy firestore.rules before testing chat, history or favourites — otherwise those all fail with permission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</si>
</sst>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b/>
      <color rgb="FF6C5CE7"/>
      <sz val="15"/>
      <name val="Arial"/>
    </font>
    <font>
      <i/>
      <color rgb="FF666666"/>
      <sz val="10"/>
      <name val="Arial"/>
    </font>
    <font>
      <b/>
      <sz val="11"/>
      <name val="Arial"/>
    </font>
    <font>
      <color rgb="FF0000FF"/>
      <sz val="10"/>
      <name val="Arial"/>
    </font>
    <font>
      <i/>
      <color rgb="FF999999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6C5CE7"/>
      </patternFill>
    </fill>
    <fill>
      <patternFill patternType="solid">
        <fgColor rgb="FFE4E0FB"/>
      </patternFill>
    </fill>
    <fill>
      <patternFill patternType="solid">
        <fgColor rgb="FFF6F5FE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9C4E8"/>
      </left>
      <right style="thin">
        <color rgb="FFC9C4E8"/>
      </right>
      <top style="thin">
        <color rgb="FFC9C4E8"/>
      </top>
      <bottom style="thin">
        <color rgb="FFC9C4E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5" borderId="1" xfId="0" applyFont="1" applyFill="1" applyBorder="1"/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2" max="2" width="16" customWidth="1"/>
    <col min="3" max="3" width="6" customWidth="1"/>
    <col min="4" max="4" width="34" customWidth="1"/>
    <col min="5" max="5" width="60" customWidth="1"/>
    <col min="6" max="6" width="56" customWidth="1"/>
    <col min="7" max="9" width="11" customWidth="1"/>
    <col min="10" max="10" width="34" customWidth="1"/>
  </cols>
  <sheetData>
    <row r="1" ht="2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16</v>
      </c>
      <c r="I2" s="4" t="s">
        <v>16</v>
      </c>
      <c r="J2" s="3" t="s">
        <v>16</v>
      </c>
    </row>
    <row r="3" spans="1:10" x14ac:dyDescent="0.25">
      <c r="A3" s="5" t="s">
        <v>17</v>
      </c>
      <c r="B3" s="6" t="s">
        <v>11</v>
      </c>
      <c r="C3" s="7" t="s">
        <v>12</v>
      </c>
      <c r="D3" s="6" t="s">
        <v>18</v>
      </c>
      <c r="E3" s="6" t="s">
        <v>19</v>
      </c>
      <c r="F3" s="6" t="s">
        <v>20</v>
      </c>
      <c r="G3" s="7" t="s">
        <v>16</v>
      </c>
      <c r="H3" s="7" t="s">
        <v>16</v>
      </c>
      <c r="I3" s="7" t="s">
        <v>16</v>
      </c>
      <c r="J3" s="6" t="s">
        <v>16</v>
      </c>
    </row>
    <row r="4" spans="1:10" x14ac:dyDescent="0.25">
      <c r="A4" s="8" t="s">
        <v>21</v>
      </c>
      <c r="B4" s="9" t="s">
        <v>11</v>
      </c>
      <c r="C4" s="10" t="s">
        <v>12</v>
      </c>
      <c r="D4" s="9" t="s">
        <v>22</v>
      </c>
      <c r="E4" s="9" t="s">
        <v>23</v>
      </c>
      <c r="F4" s="9" t="s">
        <v>24</v>
      </c>
      <c r="G4" s="10" t="s">
        <v>16</v>
      </c>
      <c r="H4" s="10" t="s">
        <v>16</v>
      </c>
      <c r="I4" s="10" t="s">
        <v>16</v>
      </c>
      <c r="J4" s="9" t="s">
        <v>16</v>
      </c>
    </row>
    <row r="5" spans="1:10" x14ac:dyDescent="0.25">
      <c r="A5" s="5" t="s">
        <v>25</v>
      </c>
      <c r="B5" s="6" t="s">
        <v>11</v>
      </c>
      <c r="C5" s="7" t="s">
        <v>12</v>
      </c>
      <c r="D5" s="6" t="s">
        <v>26</v>
      </c>
      <c r="E5" s="6" t="s">
        <v>27</v>
      </c>
      <c r="F5" s="6" t="s">
        <v>28</v>
      </c>
      <c r="G5" s="7" t="s">
        <v>16</v>
      </c>
      <c r="H5" s="7" t="s">
        <v>16</v>
      </c>
      <c r="I5" s="7" t="s">
        <v>16</v>
      </c>
      <c r="J5" s="6" t="s">
        <v>16</v>
      </c>
    </row>
    <row r="6" spans="1:10" x14ac:dyDescent="0.25">
      <c r="A6" s="8" t="s">
        <v>29</v>
      </c>
      <c r="B6" s="9" t="s">
        <v>11</v>
      </c>
      <c r="C6" s="10" t="s">
        <v>30</v>
      </c>
      <c r="D6" s="9" t="s">
        <v>31</v>
      </c>
      <c r="E6" s="9" t="s">
        <v>32</v>
      </c>
      <c r="F6" s="9" t="s">
        <v>33</v>
      </c>
      <c r="G6" s="10" t="s">
        <v>16</v>
      </c>
      <c r="H6" s="10" t="s">
        <v>16</v>
      </c>
      <c r="I6" s="10" t="s">
        <v>16</v>
      </c>
      <c r="J6" s="9" t="s">
        <v>16</v>
      </c>
    </row>
    <row r="7" spans="1:10" x14ac:dyDescent="0.25">
      <c r="A7" s="2" t="s">
        <v>34</v>
      </c>
      <c r="B7" s="3" t="s">
        <v>35</v>
      </c>
      <c r="C7" s="4" t="s">
        <v>12</v>
      </c>
      <c r="D7" s="3" t="s">
        <v>36</v>
      </c>
      <c r="E7" s="3" t="s">
        <v>37</v>
      </c>
      <c r="F7" s="3" t="s">
        <v>38</v>
      </c>
      <c r="G7" s="4" t="s">
        <v>16</v>
      </c>
      <c r="H7" s="4" t="s">
        <v>16</v>
      </c>
      <c r="I7" s="4" t="s">
        <v>16</v>
      </c>
      <c r="J7" s="3" t="s">
        <v>16</v>
      </c>
    </row>
    <row r="8" spans="1:10" x14ac:dyDescent="0.25">
      <c r="A8" s="8" t="s">
        <v>39</v>
      </c>
      <c r="B8" s="9" t="s">
        <v>35</v>
      </c>
      <c r="C8" s="10" t="s">
        <v>12</v>
      </c>
      <c r="D8" s="9" t="s">
        <v>40</v>
      </c>
      <c r="E8" s="9" t="s">
        <v>41</v>
      </c>
      <c r="F8" s="9" t="s">
        <v>42</v>
      </c>
      <c r="G8" s="10" t="s">
        <v>16</v>
      </c>
      <c r="H8" s="10" t="s">
        <v>16</v>
      </c>
      <c r="I8" s="10" t="s">
        <v>16</v>
      </c>
      <c r="J8" s="9" t="s">
        <v>16</v>
      </c>
    </row>
    <row r="9" spans="1:10" x14ac:dyDescent="0.25">
      <c r="A9" s="5" t="s">
        <v>43</v>
      </c>
      <c r="B9" s="6" t="s">
        <v>35</v>
      </c>
      <c r="C9" s="7" t="s">
        <v>12</v>
      </c>
      <c r="D9" s="6" t="s">
        <v>44</v>
      </c>
      <c r="E9" s="6" t="s">
        <v>45</v>
      </c>
      <c r="F9" s="6" t="s">
        <v>46</v>
      </c>
      <c r="G9" s="7" t="s">
        <v>16</v>
      </c>
      <c r="H9" s="7" t="s">
        <v>16</v>
      </c>
      <c r="I9" s="7" t="s">
        <v>16</v>
      </c>
      <c r="J9" s="6" t="s">
        <v>16</v>
      </c>
    </row>
    <row r="10" spans="1:10" x14ac:dyDescent="0.25">
      <c r="A10" s="8" t="s">
        <v>47</v>
      </c>
      <c r="B10" s="9" t="s">
        <v>35</v>
      </c>
      <c r="C10" s="10" t="s">
        <v>30</v>
      </c>
      <c r="D10" s="9" t="s">
        <v>48</v>
      </c>
      <c r="E10" s="9" t="s">
        <v>49</v>
      </c>
      <c r="F10" s="9" t="s">
        <v>50</v>
      </c>
      <c r="G10" s="10" t="s">
        <v>16</v>
      </c>
      <c r="H10" s="10" t="s">
        <v>16</v>
      </c>
      <c r="I10" s="10" t="s">
        <v>16</v>
      </c>
      <c r="J10" s="9" t="s">
        <v>16</v>
      </c>
    </row>
    <row r="11" spans="1:10" x14ac:dyDescent="0.25">
      <c r="A11" s="5" t="s">
        <v>51</v>
      </c>
      <c r="B11" s="6" t="s">
        <v>35</v>
      </c>
      <c r="C11" s="7" t="s">
        <v>30</v>
      </c>
      <c r="D11" s="6" t="s">
        <v>52</v>
      </c>
      <c r="E11" s="6" t="s">
        <v>53</v>
      </c>
      <c r="F11" s="6" t="s">
        <v>54</v>
      </c>
      <c r="G11" s="7" t="s">
        <v>16</v>
      </c>
      <c r="H11" s="7" t="s">
        <v>16</v>
      </c>
      <c r="I11" s="7" t="s">
        <v>16</v>
      </c>
      <c r="J11" s="6" t="s">
        <v>16</v>
      </c>
    </row>
    <row r="12" spans="1:10" x14ac:dyDescent="0.25">
      <c r="A12" s="8" t="s">
        <v>55</v>
      </c>
      <c r="B12" s="9" t="s">
        <v>35</v>
      </c>
      <c r="C12" s="10" t="s">
        <v>30</v>
      </c>
      <c r="D12" s="9" t="s">
        <v>56</v>
      </c>
      <c r="E12" s="9" t="s">
        <v>57</v>
      </c>
      <c r="F12" s="9" t="s">
        <v>58</v>
      </c>
      <c r="G12" s="10" t="s">
        <v>16</v>
      </c>
      <c r="H12" s="10" t="s">
        <v>16</v>
      </c>
      <c r="I12" s="10" t="s">
        <v>16</v>
      </c>
      <c r="J12" s="9" t="s">
        <v>16</v>
      </c>
    </row>
    <row r="13" spans="1:10" x14ac:dyDescent="0.25">
      <c r="A13" s="5" t="s">
        <v>59</v>
      </c>
      <c r="B13" s="6" t="s">
        <v>35</v>
      </c>
      <c r="C13" s="7" t="s">
        <v>60</v>
      </c>
      <c r="D13" s="6" t="s">
        <v>61</v>
      </c>
      <c r="E13" s="6" t="s">
        <v>62</v>
      </c>
      <c r="F13" s="6" t="s">
        <v>63</v>
      </c>
      <c r="G13" s="7" t="s">
        <v>16</v>
      </c>
      <c r="H13" s="7" t="s">
        <v>16</v>
      </c>
      <c r="I13" s="7" t="s">
        <v>16</v>
      </c>
      <c r="J13" s="6" t="s">
        <v>16</v>
      </c>
    </row>
    <row r="14" spans="1:10" x14ac:dyDescent="0.25">
      <c r="A14" s="2" t="s">
        <v>64</v>
      </c>
      <c r="B14" s="3" t="s">
        <v>65</v>
      </c>
      <c r="C14" s="4" t="s">
        <v>12</v>
      </c>
      <c r="D14" s="3" t="s">
        <v>66</v>
      </c>
      <c r="E14" s="3" t="s">
        <v>67</v>
      </c>
      <c r="F14" s="3" t="s">
        <v>68</v>
      </c>
      <c r="G14" s="4" t="s">
        <v>16</v>
      </c>
      <c r="H14" s="4" t="s">
        <v>16</v>
      </c>
      <c r="I14" s="4" t="s">
        <v>16</v>
      </c>
      <c r="J14" s="3" t="s">
        <v>16</v>
      </c>
    </row>
    <row r="15" spans="1:10" x14ac:dyDescent="0.25">
      <c r="A15" s="5" t="s">
        <v>69</v>
      </c>
      <c r="B15" s="6" t="s">
        <v>65</v>
      </c>
      <c r="C15" s="7" t="s">
        <v>12</v>
      </c>
      <c r="D15" s="6" t="s">
        <v>70</v>
      </c>
      <c r="E15" s="6" t="s">
        <v>71</v>
      </c>
      <c r="F15" s="6" t="s">
        <v>72</v>
      </c>
      <c r="G15" s="7" t="s">
        <v>16</v>
      </c>
      <c r="H15" s="7" t="s">
        <v>16</v>
      </c>
      <c r="I15" s="7" t="s">
        <v>16</v>
      </c>
      <c r="J15" s="6" t="s">
        <v>16</v>
      </c>
    </row>
    <row r="16" spans="1:10" x14ac:dyDescent="0.25">
      <c r="A16" s="8" t="s">
        <v>73</v>
      </c>
      <c r="B16" s="9" t="s">
        <v>65</v>
      </c>
      <c r="C16" s="10" t="s">
        <v>12</v>
      </c>
      <c r="D16" s="9" t="s">
        <v>70</v>
      </c>
      <c r="E16" s="9" t="s">
        <v>74</v>
      </c>
      <c r="F16" s="9" t="s">
        <v>75</v>
      </c>
      <c r="G16" s="10" t="s">
        <v>16</v>
      </c>
      <c r="H16" s="10" t="s">
        <v>16</v>
      </c>
      <c r="I16" s="10" t="s">
        <v>16</v>
      </c>
      <c r="J16" s="9" t="s">
        <v>16</v>
      </c>
    </row>
    <row r="17" spans="1:10" x14ac:dyDescent="0.25">
      <c r="A17" s="5" t="s">
        <v>76</v>
      </c>
      <c r="B17" s="6" t="s">
        <v>65</v>
      </c>
      <c r="C17" s="7" t="s">
        <v>30</v>
      </c>
      <c r="D17" s="6" t="s">
        <v>77</v>
      </c>
      <c r="E17" s="6" t="s">
        <v>78</v>
      </c>
      <c r="F17" s="6" t="s">
        <v>79</v>
      </c>
      <c r="G17" s="7" t="s">
        <v>16</v>
      </c>
      <c r="H17" s="7" t="s">
        <v>16</v>
      </c>
      <c r="I17" s="7" t="s">
        <v>16</v>
      </c>
      <c r="J17" s="6" t="s">
        <v>16</v>
      </c>
    </row>
    <row r="18" spans="1:10" x14ac:dyDescent="0.25">
      <c r="A18" s="8" t="s">
        <v>80</v>
      </c>
      <c r="B18" s="9" t="s">
        <v>65</v>
      </c>
      <c r="C18" s="10" t="s">
        <v>12</v>
      </c>
      <c r="D18" s="9" t="s">
        <v>81</v>
      </c>
      <c r="E18" s="9" t="s">
        <v>82</v>
      </c>
      <c r="F18" s="9" t="s">
        <v>83</v>
      </c>
      <c r="G18" s="10" t="s">
        <v>16</v>
      </c>
      <c r="H18" s="10" t="s">
        <v>16</v>
      </c>
      <c r="I18" s="10" t="s">
        <v>16</v>
      </c>
      <c r="J18" s="9" t="s">
        <v>16</v>
      </c>
    </row>
    <row r="19" spans="1:10" x14ac:dyDescent="0.25">
      <c r="A19" s="5" t="s">
        <v>84</v>
      </c>
      <c r="B19" s="6" t="s">
        <v>65</v>
      </c>
      <c r="C19" s="7" t="s">
        <v>12</v>
      </c>
      <c r="D19" s="6" t="s">
        <v>85</v>
      </c>
      <c r="E19" s="6" t="s">
        <v>86</v>
      </c>
      <c r="F19" s="6" t="s">
        <v>87</v>
      </c>
      <c r="G19" s="7" t="s">
        <v>16</v>
      </c>
      <c r="H19" s="7" t="s">
        <v>16</v>
      </c>
      <c r="I19" s="7" t="s">
        <v>16</v>
      </c>
      <c r="J19" s="6" t="s">
        <v>16</v>
      </c>
    </row>
    <row r="20" spans="1:10" x14ac:dyDescent="0.25">
      <c r="A20" s="8" t="s">
        <v>88</v>
      </c>
      <c r="B20" s="9" t="s">
        <v>65</v>
      </c>
      <c r="C20" s="10" t="s">
        <v>12</v>
      </c>
      <c r="D20" s="9" t="s">
        <v>89</v>
      </c>
      <c r="E20" s="9" t="s">
        <v>90</v>
      </c>
      <c r="F20" s="9" t="s">
        <v>91</v>
      </c>
      <c r="G20" s="10" t="s">
        <v>16</v>
      </c>
      <c r="H20" s="10" t="s">
        <v>16</v>
      </c>
      <c r="I20" s="10" t="s">
        <v>16</v>
      </c>
      <c r="J20" s="9" t="s">
        <v>16</v>
      </c>
    </row>
    <row r="21" spans="1:10" x14ac:dyDescent="0.25">
      <c r="A21" s="5" t="s">
        <v>92</v>
      </c>
      <c r="B21" s="6" t="s">
        <v>65</v>
      </c>
      <c r="C21" s="7" t="s">
        <v>30</v>
      </c>
      <c r="D21" s="6" t="s">
        <v>93</v>
      </c>
      <c r="E21" s="6" t="s">
        <v>94</v>
      </c>
      <c r="F21" s="6" t="s">
        <v>95</v>
      </c>
      <c r="G21" s="7" t="s">
        <v>16</v>
      </c>
      <c r="H21" s="7" t="s">
        <v>16</v>
      </c>
      <c r="I21" s="7" t="s">
        <v>16</v>
      </c>
      <c r="J21" s="6" t="s">
        <v>16</v>
      </c>
    </row>
    <row r="22" spans="1:10" x14ac:dyDescent="0.25">
      <c r="A22" s="8" t="s">
        <v>96</v>
      </c>
      <c r="B22" s="9" t="s">
        <v>65</v>
      </c>
      <c r="C22" s="10" t="s">
        <v>30</v>
      </c>
      <c r="D22" s="9" t="s">
        <v>97</v>
      </c>
      <c r="E22" s="9" t="s">
        <v>98</v>
      </c>
      <c r="F22" s="9" t="s">
        <v>99</v>
      </c>
      <c r="G22" s="10" t="s">
        <v>16</v>
      </c>
      <c r="H22" s="10" t="s">
        <v>16</v>
      </c>
      <c r="I22" s="10" t="s">
        <v>16</v>
      </c>
      <c r="J22" s="9" t="s">
        <v>16</v>
      </c>
    </row>
    <row r="23" spans="1:10" x14ac:dyDescent="0.25">
      <c r="A23" s="5" t="s">
        <v>100</v>
      </c>
      <c r="B23" s="6" t="s">
        <v>65</v>
      </c>
      <c r="C23" s="7" t="s">
        <v>12</v>
      </c>
      <c r="D23" s="6" t="s">
        <v>101</v>
      </c>
      <c r="E23" s="6" t="s">
        <v>102</v>
      </c>
      <c r="F23" s="6" t="s">
        <v>103</v>
      </c>
      <c r="G23" s="7" t="s">
        <v>16</v>
      </c>
      <c r="H23" s="7" t="s">
        <v>16</v>
      </c>
      <c r="I23" s="7" t="s">
        <v>16</v>
      </c>
      <c r="J23" s="6" t="s">
        <v>16</v>
      </c>
    </row>
    <row r="24" spans="1:10" x14ac:dyDescent="0.25">
      <c r="A24" s="2" t="s">
        <v>104</v>
      </c>
      <c r="B24" s="3" t="s">
        <v>105</v>
      </c>
      <c r="C24" s="4" t="s">
        <v>12</v>
      </c>
      <c r="D24" s="3" t="s">
        <v>106</v>
      </c>
      <c r="E24" s="3" t="s">
        <v>107</v>
      </c>
      <c r="F24" s="3" t="s">
        <v>108</v>
      </c>
      <c r="G24" s="4" t="s">
        <v>16</v>
      </c>
      <c r="H24" s="4" t="s">
        <v>16</v>
      </c>
      <c r="I24" s="4" t="s">
        <v>16</v>
      </c>
      <c r="J24" s="3" t="s">
        <v>16</v>
      </c>
    </row>
    <row r="25" spans="1:10" x14ac:dyDescent="0.25">
      <c r="A25" s="5" t="s">
        <v>109</v>
      </c>
      <c r="B25" s="6" t="s">
        <v>105</v>
      </c>
      <c r="C25" s="7" t="s">
        <v>12</v>
      </c>
      <c r="D25" s="6" t="s">
        <v>110</v>
      </c>
      <c r="E25" s="6" t="s">
        <v>111</v>
      </c>
      <c r="F25" s="6" t="s">
        <v>112</v>
      </c>
      <c r="G25" s="7" t="s">
        <v>16</v>
      </c>
      <c r="H25" s="7" t="s">
        <v>16</v>
      </c>
      <c r="I25" s="7" t="s">
        <v>16</v>
      </c>
      <c r="J25" s="6" t="s">
        <v>16</v>
      </c>
    </row>
    <row r="26" spans="1:10" x14ac:dyDescent="0.25">
      <c r="A26" s="8" t="s">
        <v>113</v>
      </c>
      <c r="B26" s="9" t="s">
        <v>105</v>
      </c>
      <c r="C26" s="10" t="s">
        <v>12</v>
      </c>
      <c r="D26" s="9" t="s">
        <v>114</v>
      </c>
      <c r="E26" s="9" t="s">
        <v>115</v>
      </c>
      <c r="F26" s="9" t="s">
        <v>116</v>
      </c>
      <c r="G26" s="10" t="s">
        <v>16</v>
      </c>
      <c r="H26" s="10" t="s">
        <v>16</v>
      </c>
      <c r="I26" s="10" t="s">
        <v>16</v>
      </c>
      <c r="J26" s="9" t="s">
        <v>16</v>
      </c>
    </row>
    <row r="27" spans="1:10" x14ac:dyDescent="0.25">
      <c r="A27" s="5" t="s">
        <v>117</v>
      </c>
      <c r="B27" s="6" t="s">
        <v>105</v>
      </c>
      <c r="C27" s="7" t="s">
        <v>12</v>
      </c>
      <c r="D27" s="6" t="s">
        <v>118</v>
      </c>
      <c r="E27" s="6" t="s">
        <v>119</v>
      </c>
      <c r="F27" s="6" t="s">
        <v>120</v>
      </c>
      <c r="G27" s="7" t="s">
        <v>16</v>
      </c>
      <c r="H27" s="7" t="s">
        <v>16</v>
      </c>
      <c r="I27" s="7" t="s">
        <v>16</v>
      </c>
      <c r="J27" s="6" t="s">
        <v>16</v>
      </c>
    </row>
    <row r="28" spans="1:10" x14ac:dyDescent="0.25">
      <c r="A28" s="8" t="s">
        <v>121</v>
      </c>
      <c r="B28" s="9" t="s">
        <v>105</v>
      </c>
      <c r="C28" s="10" t="s">
        <v>12</v>
      </c>
      <c r="D28" s="9" t="s">
        <v>122</v>
      </c>
      <c r="E28" s="9" t="s">
        <v>123</v>
      </c>
      <c r="F28" s="9" t="s">
        <v>124</v>
      </c>
      <c r="G28" s="10" t="s">
        <v>16</v>
      </c>
      <c r="H28" s="10" t="s">
        <v>16</v>
      </c>
      <c r="I28" s="10" t="s">
        <v>16</v>
      </c>
      <c r="J28" s="9" t="s">
        <v>16</v>
      </c>
    </row>
    <row r="29" spans="1:10" x14ac:dyDescent="0.25">
      <c r="A29" s="5" t="s">
        <v>125</v>
      </c>
      <c r="B29" s="6" t="s">
        <v>105</v>
      </c>
      <c r="C29" s="7" t="s">
        <v>30</v>
      </c>
      <c r="D29" s="6" t="s">
        <v>126</v>
      </c>
      <c r="E29" s="6" t="s">
        <v>127</v>
      </c>
      <c r="F29" s="6" t="s">
        <v>128</v>
      </c>
      <c r="G29" s="7" t="s">
        <v>16</v>
      </c>
      <c r="H29" s="7" t="s">
        <v>16</v>
      </c>
      <c r="I29" s="7" t="s">
        <v>16</v>
      </c>
      <c r="J29" s="6" t="s">
        <v>16</v>
      </c>
    </row>
    <row r="30" spans="1:10" x14ac:dyDescent="0.25">
      <c r="A30" s="2" t="s">
        <v>129</v>
      </c>
      <c r="B30" s="3" t="s">
        <v>130</v>
      </c>
      <c r="C30" s="4" t="s">
        <v>12</v>
      </c>
      <c r="D30" s="3" t="s">
        <v>131</v>
      </c>
      <c r="E30" s="3" t="s">
        <v>132</v>
      </c>
      <c r="F30" s="3" t="s">
        <v>133</v>
      </c>
      <c r="G30" s="4" t="s">
        <v>16</v>
      </c>
      <c r="H30" s="4" t="s">
        <v>16</v>
      </c>
      <c r="I30" s="4" t="s">
        <v>16</v>
      </c>
      <c r="J30" s="3" t="s">
        <v>16</v>
      </c>
    </row>
    <row r="31" spans="1:10" x14ac:dyDescent="0.25">
      <c r="A31" s="5" t="s">
        <v>134</v>
      </c>
      <c r="B31" s="6" t="s">
        <v>130</v>
      </c>
      <c r="C31" s="7" t="s">
        <v>12</v>
      </c>
      <c r="D31" s="6" t="s">
        <v>135</v>
      </c>
      <c r="E31" s="6" t="s">
        <v>136</v>
      </c>
      <c r="F31" s="6" t="s">
        <v>137</v>
      </c>
      <c r="G31" s="7" t="s">
        <v>16</v>
      </c>
      <c r="H31" s="7" t="s">
        <v>16</v>
      </c>
      <c r="I31" s="7" t="s">
        <v>16</v>
      </c>
      <c r="J31" s="6" t="s">
        <v>16</v>
      </c>
    </row>
    <row r="32" spans="1:10" x14ac:dyDescent="0.25">
      <c r="A32" s="8" t="s">
        <v>138</v>
      </c>
      <c r="B32" s="9" t="s">
        <v>130</v>
      </c>
      <c r="C32" s="10" t="s">
        <v>12</v>
      </c>
      <c r="D32" s="9" t="s">
        <v>139</v>
      </c>
      <c r="E32" s="9" t="s">
        <v>140</v>
      </c>
      <c r="F32" s="9" t="s">
        <v>141</v>
      </c>
      <c r="G32" s="10" t="s">
        <v>16</v>
      </c>
      <c r="H32" s="10" t="s">
        <v>16</v>
      </c>
      <c r="I32" s="10" t="s">
        <v>16</v>
      </c>
      <c r="J32" s="9" t="s">
        <v>16</v>
      </c>
    </row>
    <row r="33" spans="1:10" x14ac:dyDescent="0.25">
      <c r="A33" s="5" t="s">
        <v>142</v>
      </c>
      <c r="B33" s="6" t="s">
        <v>130</v>
      </c>
      <c r="C33" s="7" t="s">
        <v>12</v>
      </c>
      <c r="D33" s="6" t="s">
        <v>143</v>
      </c>
      <c r="E33" s="6" t="s">
        <v>144</v>
      </c>
      <c r="F33" s="6" t="s">
        <v>145</v>
      </c>
      <c r="G33" s="7" t="s">
        <v>16</v>
      </c>
      <c r="H33" s="7" t="s">
        <v>16</v>
      </c>
      <c r="I33" s="7" t="s">
        <v>16</v>
      </c>
      <c r="J33" s="6" t="s">
        <v>16</v>
      </c>
    </row>
    <row r="34" spans="1:10" x14ac:dyDescent="0.25">
      <c r="A34" s="8" t="s">
        <v>146</v>
      </c>
      <c r="B34" s="9" t="s">
        <v>130</v>
      </c>
      <c r="C34" s="10" t="s">
        <v>12</v>
      </c>
      <c r="D34" s="9" t="s">
        <v>147</v>
      </c>
      <c r="E34" s="9" t="s">
        <v>148</v>
      </c>
      <c r="F34" s="9" t="s">
        <v>149</v>
      </c>
      <c r="G34" s="10" t="s">
        <v>16</v>
      </c>
      <c r="H34" s="10" t="s">
        <v>16</v>
      </c>
      <c r="I34" s="10" t="s">
        <v>16</v>
      </c>
      <c r="J34" s="9" t="s">
        <v>16</v>
      </c>
    </row>
    <row r="35" spans="1:10" x14ac:dyDescent="0.25">
      <c r="A35" s="5" t="s">
        <v>150</v>
      </c>
      <c r="B35" s="6" t="s">
        <v>130</v>
      </c>
      <c r="C35" s="7" t="s">
        <v>30</v>
      </c>
      <c r="D35" s="6" t="s">
        <v>151</v>
      </c>
      <c r="E35" s="6" t="s">
        <v>152</v>
      </c>
      <c r="F35" s="6" t="s">
        <v>153</v>
      </c>
      <c r="G35" s="7" t="s">
        <v>16</v>
      </c>
      <c r="H35" s="7" t="s">
        <v>16</v>
      </c>
      <c r="I35" s="7" t="s">
        <v>16</v>
      </c>
      <c r="J35" s="6" t="s">
        <v>16</v>
      </c>
    </row>
    <row r="36" spans="1:10" x14ac:dyDescent="0.25">
      <c r="A36" s="8" t="s">
        <v>154</v>
      </c>
      <c r="B36" s="9" t="s">
        <v>130</v>
      </c>
      <c r="C36" s="10" t="s">
        <v>30</v>
      </c>
      <c r="D36" s="9" t="s">
        <v>155</v>
      </c>
      <c r="E36" s="9" t="s">
        <v>156</v>
      </c>
      <c r="F36" s="9" t="s">
        <v>157</v>
      </c>
      <c r="G36" s="10" t="s">
        <v>16</v>
      </c>
      <c r="H36" s="10" t="s">
        <v>16</v>
      </c>
      <c r="I36" s="10" t="s">
        <v>16</v>
      </c>
      <c r="J36" s="9" t="s">
        <v>16</v>
      </c>
    </row>
    <row r="37" spans="1:10" x14ac:dyDescent="0.25">
      <c r="A37" s="5" t="s">
        <v>158</v>
      </c>
      <c r="B37" s="6" t="s">
        <v>130</v>
      </c>
      <c r="C37" s="7" t="s">
        <v>30</v>
      </c>
      <c r="D37" s="6" t="s">
        <v>159</v>
      </c>
      <c r="E37" s="6" t="s">
        <v>160</v>
      </c>
      <c r="F37" s="6" t="s">
        <v>161</v>
      </c>
      <c r="G37" s="7" t="s">
        <v>16</v>
      </c>
      <c r="H37" s="7" t="s">
        <v>16</v>
      </c>
      <c r="I37" s="7" t="s">
        <v>16</v>
      </c>
      <c r="J37" s="6" t="s">
        <v>16</v>
      </c>
    </row>
    <row r="38" spans="1:10" x14ac:dyDescent="0.25">
      <c r="A38" s="8" t="s">
        <v>162</v>
      </c>
      <c r="B38" s="9" t="s">
        <v>130</v>
      </c>
      <c r="C38" s="10" t="s">
        <v>60</v>
      </c>
      <c r="D38" s="9" t="s">
        <v>155</v>
      </c>
      <c r="E38" s="9" t="s">
        <v>163</v>
      </c>
      <c r="F38" s="9" t="s">
        <v>164</v>
      </c>
      <c r="G38" s="10" t="s">
        <v>16</v>
      </c>
      <c r="H38" s="10" t="s">
        <v>16</v>
      </c>
      <c r="I38" s="10" t="s">
        <v>16</v>
      </c>
      <c r="J38" s="9" t="s">
        <v>16</v>
      </c>
    </row>
    <row r="39" spans="1:10" x14ac:dyDescent="0.25">
      <c r="A39" s="2" t="s">
        <v>34</v>
      </c>
      <c r="B39" s="3" t="s">
        <v>165</v>
      </c>
      <c r="C39" s="4" t="s">
        <v>12</v>
      </c>
      <c r="D39" s="3" t="s">
        <v>166</v>
      </c>
      <c r="E39" s="3" t="s">
        <v>167</v>
      </c>
      <c r="F39" s="3" t="s">
        <v>168</v>
      </c>
      <c r="G39" s="4" t="s">
        <v>16</v>
      </c>
      <c r="H39" s="4" t="s">
        <v>16</v>
      </c>
      <c r="I39" s="4" t="s">
        <v>16</v>
      </c>
      <c r="J39" s="3" t="s">
        <v>16</v>
      </c>
    </row>
    <row r="40" spans="1:10" x14ac:dyDescent="0.25">
      <c r="A40" s="8" t="s">
        <v>39</v>
      </c>
      <c r="B40" s="9" t="s">
        <v>165</v>
      </c>
      <c r="C40" s="10" t="s">
        <v>12</v>
      </c>
      <c r="D40" s="9" t="s">
        <v>169</v>
      </c>
      <c r="E40" s="9" t="s">
        <v>170</v>
      </c>
      <c r="F40" s="9" t="s">
        <v>171</v>
      </c>
      <c r="G40" s="10" t="s">
        <v>16</v>
      </c>
      <c r="H40" s="10" t="s">
        <v>16</v>
      </c>
      <c r="I40" s="10" t="s">
        <v>16</v>
      </c>
      <c r="J40" s="9" t="s">
        <v>16</v>
      </c>
    </row>
    <row r="41" spans="1:10" x14ac:dyDescent="0.25">
      <c r="A41" s="5" t="s">
        <v>43</v>
      </c>
      <c r="B41" s="6" t="s">
        <v>165</v>
      </c>
      <c r="C41" s="7" t="s">
        <v>12</v>
      </c>
      <c r="D41" s="6" t="s">
        <v>172</v>
      </c>
      <c r="E41" s="6" t="s">
        <v>170</v>
      </c>
      <c r="F41" s="6" t="s">
        <v>173</v>
      </c>
      <c r="G41" s="7" t="s">
        <v>16</v>
      </c>
      <c r="H41" s="7" t="s">
        <v>16</v>
      </c>
      <c r="I41" s="7" t="s">
        <v>16</v>
      </c>
      <c r="J41" s="6" t="s">
        <v>16</v>
      </c>
    </row>
    <row r="42" spans="1:10" x14ac:dyDescent="0.25">
      <c r="A42" s="8" t="s">
        <v>47</v>
      </c>
      <c r="B42" s="9" t="s">
        <v>165</v>
      </c>
      <c r="C42" s="10" t="s">
        <v>30</v>
      </c>
      <c r="D42" s="9" t="s">
        <v>174</v>
      </c>
      <c r="E42" s="9" t="s">
        <v>175</v>
      </c>
      <c r="F42" s="9" t="s">
        <v>176</v>
      </c>
      <c r="G42" s="10" t="s">
        <v>16</v>
      </c>
      <c r="H42" s="10" t="s">
        <v>16</v>
      </c>
      <c r="I42" s="10" t="s">
        <v>16</v>
      </c>
      <c r="J42" s="9" t="s">
        <v>16</v>
      </c>
    </row>
    <row r="43" spans="1:10" x14ac:dyDescent="0.25">
      <c r="A43" s="5" t="s">
        <v>51</v>
      </c>
      <c r="B43" s="6" t="s">
        <v>165</v>
      </c>
      <c r="C43" s="7" t="s">
        <v>30</v>
      </c>
      <c r="D43" s="6" t="s">
        <v>177</v>
      </c>
      <c r="E43" s="6" t="s">
        <v>178</v>
      </c>
      <c r="F43" s="6" t="s">
        <v>179</v>
      </c>
      <c r="G43" s="7" t="s">
        <v>16</v>
      </c>
      <c r="H43" s="7" t="s">
        <v>16</v>
      </c>
      <c r="I43" s="7" t="s">
        <v>16</v>
      </c>
      <c r="J43" s="6" t="s">
        <v>16</v>
      </c>
    </row>
    <row r="44" spans="1:10" x14ac:dyDescent="0.25">
      <c r="A44" s="8" t="s">
        <v>55</v>
      </c>
      <c r="B44" s="9" t="s">
        <v>165</v>
      </c>
      <c r="C44" s="10" t="s">
        <v>30</v>
      </c>
      <c r="D44" s="9" t="s">
        <v>180</v>
      </c>
      <c r="E44" s="9" t="s">
        <v>181</v>
      </c>
      <c r="F44" s="9" t="s">
        <v>182</v>
      </c>
      <c r="G44" s="10" t="s">
        <v>16</v>
      </c>
      <c r="H44" s="10" t="s">
        <v>16</v>
      </c>
      <c r="I44" s="10" t="s">
        <v>16</v>
      </c>
      <c r="J44" s="9" t="s">
        <v>16</v>
      </c>
    </row>
    <row r="45" spans="1:10" x14ac:dyDescent="0.25">
      <c r="A45" s="2" t="s">
        <v>183</v>
      </c>
      <c r="B45" s="3" t="s">
        <v>184</v>
      </c>
      <c r="C45" s="4" t="s">
        <v>12</v>
      </c>
      <c r="D45" s="3" t="s">
        <v>185</v>
      </c>
      <c r="E45" s="3" t="s">
        <v>186</v>
      </c>
      <c r="F45" s="3" t="s">
        <v>187</v>
      </c>
      <c r="G45" s="4" t="s">
        <v>16</v>
      </c>
      <c r="H45" s="4" t="s">
        <v>16</v>
      </c>
      <c r="I45" s="4" t="s">
        <v>16</v>
      </c>
      <c r="J45" s="3" t="s">
        <v>16</v>
      </c>
    </row>
    <row r="46" spans="1:10" x14ac:dyDescent="0.25">
      <c r="A46" s="8" t="s">
        <v>188</v>
      </c>
      <c r="B46" s="9" t="s">
        <v>184</v>
      </c>
      <c r="C46" s="10" t="s">
        <v>12</v>
      </c>
      <c r="D46" s="9" t="s">
        <v>185</v>
      </c>
      <c r="E46" s="9" t="s">
        <v>189</v>
      </c>
      <c r="F46" s="9" t="s">
        <v>190</v>
      </c>
      <c r="G46" s="10" t="s">
        <v>16</v>
      </c>
      <c r="H46" s="10" t="s">
        <v>16</v>
      </c>
      <c r="I46" s="10" t="s">
        <v>16</v>
      </c>
      <c r="J46" s="9" t="s">
        <v>16</v>
      </c>
    </row>
    <row r="47" spans="1:10" x14ac:dyDescent="0.25">
      <c r="A47" s="5" t="s">
        <v>191</v>
      </c>
      <c r="B47" s="6" t="s">
        <v>184</v>
      </c>
      <c r="C47" s="7" t="s">
        <v>12</v>
      </c>
      <c r="D47" s="6" t="s">
        <v>192</v>
      </c>
      <c r="E47" s="6" t="s">
        <v>193</v>
      </c>
      <c r="F47" s="6" t="s">
        <v>194</v>
      </c>
      <c r="G47" s="7" t="s">
        <v>16</v>
      </c>
      <c r="H47" s="7" t="s">
        <v>16</v>
      </c>
      <c r="I47" s="7" t="s">
        <v>16</v>
      </c>
      <c r="J47" s="6" t="s">
        <v>16</v>
      </c>
    </row>
    <row r="48" spans="1:10" x14ac:dyDescent="0.25">
      <c r="A48" s="8" t="s">
        <v>195</v>
      </c>
      <c r="B48" s="9" t="s">
        <v>184</v>
      </c>
      <c r="C48" s="10" t="s">
        <v>12</v>
      </c>
      <c r="D48" s="9" t="s">
        <v>196</v>
      </c>
      <c r="E48" s="9" t="s">
        <v>197</v>
      </c>
      <c r="F48" s="9" t="s">
        <v>198</v>
      </c>
      <c r="G48" s="10" t="s">
        <v>16</v>
      </c>
      <c r="H48" s="10" t="s">
        <v>16</v>
      </c>
      <c r="I48" s="10" t="s">
        <v>16</v>
      </c>
      <c r="J48" s="9" t="s">
        <v>16</v>
      </c>
    </row>
    <row r="49" spans="1:10" x14ac:dyDescent="0.25">
      <c r="A49" s="5" t="s">
        <v>199</v>
      </c>
      <c r="B49" s="6" t="s">
        <v>184</v>
      </c>
      <c r="C49" s="7" t="s">
        <v>30</v>
      </c>
      <c r="D49" s="6" t="s">
        <v>200</v>
      </c>
      <c r="E49" s="6" t="s">
        <v>201</v>
      </c>
      <c r="F49" s="6" t="s">
        <v>202</v>
      </c>
      <c r="G49" s="7" t="s">
        <v>16</v>
      </c>
      <c r="H49" s="7" t="s">
        <v>16</v>
      </c>
      <c r="I49" s="7" t="s">
        <v>16</v>
      </c>
      <c r="J49" s="6" t="s">
        <v>16</v>
      </c>
    </row>
    <row r="50" spans="1:10" x14ac:dyDescent="0.25">
      <c r="A50" s="8" t="s">
        <v>203</v>
      </c>
      <c r="B50" s="9" t="s">
        <v>184</v>
      </c>
      <c r="C50" s="10" t="s">
        <v>30</v>
      </c>
      <c r="D50" s="9" t="s">
        <v>204</v>
      </c>
      <c r="E50" s="9" t="s">
        <v>205</v>
      </c>
      <c r="F50" s="9" t="s">
        <v>206</v>
      </c>
      <c r="G50" s="10" t="s">
        <v>16</v>
      </c>
      <c r="H50" s="10" t="s">
        <v>16</v>
      </c>
      <c r="I50" s="10" t="s">
        <v>16</v>
      </c>
      <c r="J50" s="9" t="s">
        <v>16</v>
      </c>
    </row>
    <row r="51" spans="1:10" x14ac:dyDescent="0.25">
      <c r="A51" s="5" t="s">
        <v>207</v>
      </c>
      <c r="B51" s="6" t="s">
        <v>184</v>
      </c>
      <c r="C51" s="7" t="s">
        <v>30</v>
      </c>
      <c r="D51" s="6" t="s">
        <v>208</v>
      </c>
      <c r="E51" s="6" t="s">
        <v>209</v>
      </c>
      <c r="F51" s="6" t="s">
        <v>210</v>
      </c>
      <c r="G51" s="7" t="s">
        <v>16</v>
      </c>
      <c r="H51" s="7" t="s">
        <v>16</v>
      </c>
      <c r="I51" s="7" t="s">
        <v>16</v>
      </c>
      <c r="J51" s="6" t="s">
        <v>16</v>
      </c>
    </row>
    <row r="52" spans="1:10" x14ac:dyDescent="0.25">
      <c r="A52" s="8" t="s">
        <v>211</v>
      </c>
      <c r="B52" s="9" t="s">
        <v>184</v>
      </c>
      <c r="C52" s="10" t="s">
        <v>60</v>
      </c>
      <c r="D52" s="9" t="s">
        <v>212</v>
      </c>
      <c r="E52" s="9" t="s">
        <v>213</v>
      </c>
      <c r="F52" s="9" t="s">
        <v>214</v>
      </c>
      <c r="G52" s="10" t="s">
        <v>16</v>
      </c>
      <c r="H52" s="10" t="s">
        <v>16</v>
      </c>
      <c r="I52" s="10" t="s">
        <v>16</v>
      </c>
      <c r="J52" s="9" t="s">
        <v>16</v>
      </c>
    </row>
    <row r="53" spans="1:10" x14ac:dyDescent="0.25">
      <c r="A53" s="2" t="s">
        <v>215</v>
      </c>
      <c r="B53" s="3" t="s">
        <v>216</v>
      </c>
      <c r="C53" s="4" t="s">
        <v>12</v>
      </c>
      <c r="D53" s="3" t="s">
        <v>217</v>
      </c>
      <c r="E53" s="3" t="s">
        <v>218</v>
      </c>
      <c r="F53" s="3" t="s">
        <v>219</v>
      </c>
      <c r="G53" s="4" t="s">
        <v>16</v>
      </c>
      <c r="H53" s="4" t="s">
        <v>16</v>
      </c>
      <c r="I53" s="4" t="s">
        <v>16</v>
      </c>
      <c r="J53" s="3" t="s">
        <v>16</v>
      </c>
    </row>
    <row r="54" spans="1:10" x14ac:dyDescent="0.25">
      <c r="A54" s="8" t="s">
        <v>220</v>
      </c>
      <c r="B54" s="9" t="s">
        <v>216</v>
      </c>
      <c r="C54" s="10" t="s">
        <v>12</v>
      </c>
      <c r="D54" s="9" t="s">
        <v>221</v>
      </c>
      <c r="E54" s="9" t="s">
        <v>222</v>
      </c>
      <c r="F54" s="9" t="s">
        <v>223</v>
      </c>
      <c r="G54" s="10" t="s">
        <v>16</v>
      </c>
      <c r="H54" s="10" t="s">
        <v>16</v>
      </c>
      <c r="I54" s="10" t="s">
        <v>16</v>
      </c>
      <c r="J54" s="9" t="s">
        <v>16</v>
      </c>
    </row>
    <row r="55" spans="1:10" x14ac:dyDescent="0.25">
      <c r="A55" s="5" t="s">
        <v>224</v>
      </c>
      <c r="B55" s="6" t="s">
        <v>216</v>
      </c>
      <c r="C55" s="7" t="s">
        <v>12</v>
      </c>
      <c r="D55" s="6" t="s">
        <v>225</v>
      </c>
      <c r="E55" s="6" t="s">
        <v>226</v>
      </c>
      <c r="F55" s="6" t="s">
        <v>227</v>
      </c>
      <c r="G55" s="7" t="s">
        <v>16</v>
      </c>
      <c r="H55" s="7" t="s">
        <v>16</v>
      </c>
      <c r="I55" s="7" t="s">
        <v>16</v>
      </c>
      <c r="J55" s="6" t="s">
        <v>16</v>
      </c>
    </row>
    <row r="56" spans="1:10" x14ac:dyDescent="0.25">
      <c r="A56" s="8" t="s">
        <v>228</v>
      </c>
      <c r="B56" s="9" t="s">
        <v>216</v>
      </c>
      <c r="C56" s="10" t="s">
        <v>30</v>
      </c>
      <c r="D56" s="9" t="s">
        <v>204</v>
      </c>
      <c r="E56" s="9" t="s">
        <v>229</v>
      </c>
      <c r="F56" s="9" t="s">
        <v>230</v>
      </c>
      <c r="G56" s="10" t="s">
        <v>16</v>
      </c>
      <c r="H56" s="10" t="s">
        <v>16</v>
      </c>
      <c r="I56" s="10" t="s">
        <v>16</v>
      </c>
      <c r="J56" s="9" t="s">
        <v>16</v>
      </c>
    </row>
    <row r="57" spans="1:10" x14ac:dyDescent="0.25">
      <c r="A57" s="5" t="s">
        <v>231</v>
      </c>
      <c r="B57" s="6" t="s">
        <v>216</v>
      </c>
      <c r="C57" s="7" t="s">
        <v>30</v>
      </c>
      <c r="D57" s="6" t="s">
        <v>232</v>
      </c>
      <c r="E57" s="6" t="s">
        <v>233</v>
      </c>
      <c r="F57" s="6" t="s">
        <v>234</v>
      </c>
      <c r="G57" s="7" t="s">
        <v>16</v>
      </c>
      <c r="H57" s="7" t="s">
        <v>16</v>
      </c>
      <c r="I57" s="7" t="s">
        <v>16</v>
      </c>
      <c r="J57" s="6" t="s">
        <v>16</v>
      </c>
    </row>
    <row r="58" spans="1:10" x14ac:dyDescent="0.25">
      <c r="A58" s="8" t="s">
        <v>235</v>
      </c>
      <c r="B58" s="9" t="s">
        <v>216</v>
      </c>
      <c r="C58" s="10" t="s">
        <v>60</v>
      </c>
      <c r="D58" s="9" t="s">
        <v>236</v>
      </c>
      <c r="E58" s="9" t="s">
        <v>237</v>
      </c>
      <c r="F58" s="9" t="s">
        <v>238</v>
      </c>
      <c r="G58" s="10" t="s">
        <v>16</v>
      </c>
      <c r="H58" s="10" t="s">
        <v>16</v>
      </c>
      <c r="I58" s="10" t="s">
        <v>16</v>
      </c>
      <c r="J58" s="9" t="s">
        <v>16</v>
      </c>
    </row>
    <row r="59" spans="1:10" x14ac:dyDescent="0.25">
      <c r="A59" s="2" t="s">
        <v>239</v>
      </c>
      <c r="B59" s="3" t="s">
        <v>240</v>
      </c>
      <c r="C59" s="4" t="s">
        <v>12</v>
      </c>
      <c r="D59" s="3" t="s">
        <v>241</v>
      </c>
      <c r="E59" s="3" t="s">
        <v>242</v>
      </c>
      <c r="F59" s="3" t="s">
        <v>243</v>
      </c>
      <c r="G59" s="4" t="s">
        <v>16</v>
      </c>
      <c r="H59" s="4" t="s">
        <v>16</v>
      </c>
      <c r="I59" s="4" t="s">
        <v>16</v>
      </c>
      <c r="J59" s="3" t="s">
        <v>16</v>
      </c>
    </row>
    <row r="60" spans="1:10" x14ac:dyDescent="0.25">
      <c r="A60" s="8" t="s">
        <v>244</v>
      </c>
      <c r="B60" s="9" t="s">
        <v>240</v>
      </c>
      <c r="C60" s="10" t="s">
        <v>12</v>
      </c>
      <c r="D60" s="9" t="s">
        <v>245</v>
      </c>
      <c r="E60" s="9" t="s">
        <v>246</v>
      </c>
      <c r="F60" s="9" t="s">
        <v>247</v>
      </c>
      <c r="G60" s="10" t="s">
        <v>16</v>
      </c>
      <c r="H60" s="10" t="s">
        <v>16</v>
      </c>
      <c r="I60" s="10" t="s">
        <v>16</v>
      </c>
      <c r="J60" s="9" t="s">
        <v>16</v>
      </c>
    </row>
    <row r="61" spans="1:10" x14ac:dyDescent="0.25">
      <c r="A61" s="5" t="s">
        <v>248</v>
      </c>
      <c r="B61" s="6" t="s">
        <v>240</v>
      </c>
      <c r="C61" s="7" t="s">
        <v>12</v>
      </c>
      <c r="D61" s="6" t="s">
        <v>249</v>
      </c>
      <c r="E61" s="6" t="s">
        <v>250</v>
      </c>
      <c r="F61" s="6" t="s">
        <v>251</v>
      </c>
      <c r="G61" s="7" t="s">
        <v>16</v>
      </c>
      <c r="H61" s="7" t="s">
        <v>16</v>
      </c>
      <c r="I61" s="7" t="s">
        <v>16</v>
      </c>
      <c r="J61" s="6" t="s">
        <v>16</v>
      </c>
    </row>
    <row r="62" spans="1:10" x14ac:dyDescent="0.25">
      <c r="A62" s="8" t="s">
        <v>252</v>
      </c>
      <c r="B62" s="9" t="s">
        <v>240</v>
      </c>
      <c r="C62" s="10" t="s">
        <v>30</v>
      </c>
      <c r="D62" s="9" t="s">
        <v>253</v>
      </c>
      <c r="E62" s="9" t="s">
        <v>254</v>
      </c>
      <c r="F62" s="9" t="s">
        <v>255</v>
      </c>
      <c r="G62" s="10" t="s">
        <v>16</v>
      </c>
      <c r="H62" s="10" t="s">
        <v>16</v>
      </c>
      <c r="I62" s="10" t="s">
        <v>16</v>
      </c>
      <c r="J62" s="9" t="s">
        <v>16</v>
      </c>
    </row>
    <row r="63" spans="1:10" x14ac:dyDescent="0.25">
      <c r="A63" s="5" t="s">
        <v>256</v>
      </c>
      <c r="B63" s="6" t="s">
        <v>240</v>
      </c>
      <c r="C63" s="7" t="s">
        <v>30</v>
      </c>
      <c r="D63" s="6" t="s">
        <v>257</v>
      </c>
      <c r="E63" s="6" t="s">
        <v>258</v>
      </c>
      <c r="F63" s="6" t="s">
        <v>259</v>
      </c>
      <c r="G63" s="7" t="s">
        <v>16</v>
      </c>
      <c r="H63" s="7" t="s">
        <v>16</v>
      </c>
      <c r="I63" s="7" t="s">
        <v>16</v>
      </c>
      <c r="J63" s="6" t="s">
        <v>16</v>
      </c>
    </row>
    <row r="64" spans="1:10" x14ac:dyDescent="0.25">
      <c r="A64" s="8" t="s">
        <v>260</v>
      </c>
      <c r="B64" s="9" t="s">
        <v>240</v>
      </c>
      <c r="C64" s="10" t="s">
        <v>60</v>
      </c>
      <c r="D64" s="9" t="s">
        <v>261</v>
      </c>
      <c r="E64" s="9" t="s">
        <v>262</v>
      </c>
      <c r="F64" s="9" t="s">
        <v>263</v>
      </c>
      <c r="G64" s="10" t="s">
        <v>16</v>
      </c>
      <c r="H64" s="10" t="s">
        <v>16</v>
      </c>
      <c r="I64" s="10" t="s">
        <v>16</v>
      </c>
      <c r="J64" s="9" t="s">
        <v>16</v>
      </c>
    </row>
    <row r="65" spans="1:10" x14ac:dyDescent="0.25">
      <c r="A65" s="2" t="s">
        <v>264</v>
      </c>
      <c r="B65" s="3" t="s">
        <v>265</v>
      </c>
      <c r="C65" s="4" t="s">
        <v>12</v>
      </c>
      <c r="D65" s="3" t="s">
        <v>266</v>
      </c>
      <c r="E65" s="3" t="s">
        <v>267</v>
      </c>
      <c r="F65" s="3" t="s">
        <v>268</v>
      </c>
      <c r="G65" s="4" t="s">
        <v>16</v>
      </c>
      <c r="H65" s="4" t="s">
        <v>16</v>
      </c>
      <c r="I65" s="4" t="s">
        <v>16</v>
      </c>
      <c r="J65" s="3" t="s">
        <v>16</v>
      </c>
    </row>
    <row r="66" spans="1:10" x14ac:dyDescent="0.25">
      <c r="A66" s="8" t="s">
        <v>269</v>
      </c>
      <c r="B66" s="9" t="s">
        <v>265</v>
      </c>
      <c r="C66" s="10" t="s">
        <v>12</v>
      </c>
      <c r="D66" s="9" t="s">
        <v>270</v>
      </c>
      <c r="E66" s="9" t="s">
        <v>271</v>
      </c>
      <c r="F66" s="9" t="s">
        <v>272</v>
      </c>
      <c r="G66" s="10" t="s">
        <v>16</v>
      </c>
      <c r="H66" s="10" t="s">
        <v>16</v>
      </c>
      <c r="I66" s="10" t="s">
        <v>16</v>
      </c>
      <c r="J66" s="9" t="s">
        <v>16</v>
      </c>
    </row>
    <row r="67" spans="1:10" x14ac:dyDescent="0.25">
      <c r="A67" s="5" t="s">
        <v>273</v>
      </c>
      <c r="B67" s="6" t="s">
        <v>265</v>
      </c>
      <c r="C67" s="7" t="s">
        <v>12</v>
      </c>
      <c r="D67" s="6" t="s">
        <v>274</v>
      </c>
      <c r="E67" s="6" t="s">
        <v>275</v>
      </c>
      <c r="F67" s="6" t="s">
        <v>276</v>
      </c>
      <c r="G67" s="7" t="s">
        <v>16</v>
      </c>
      <c r="H67" s="7" t="s">
        <v>16</v>
      </c>
      <c r="I67" s="7" t="s">
        <v>16</v>
      </c>
      <c r="J67" s="6" t="s">
        <v>16</v>
      </c>
    </row>
    <row r="68" spans="1:10" x14ac:dyDescent="0.25">
      <c r="A68" s="8" t="s">
        <v>277</v>
      </c>
      <c r="B68" s="9" t="s">
        <v>265</v>
      </c>
      <c r="C68" s="10" t="s">
        <v>30</v>
      </c>
      <c r="D68" s="9" t="s">
        <v>278</v>
      </c>
      <c r="E68" s="9" t="s">
        <v>279</v>
      </c>
      <c r="F68" s="9" t="s">
        <v>280</v>
      </c>
      <c r="G68" s="10" t="s">
        <v>16</v>
      </c>
      <c r="H68" s="10" t="s">
        <v>16</v>
      </c>
      <c r="I68" s="10" t="s">
        <v>16</v>
      </c>
      <c r="J68" s="9" t="s">
        <v>16</v>
      </c>
    </row>
    <row r="69" spans="1:10" x14ac:dyDescent="0.25">
      <c r="A69" s="5" t="s">
        <v>281</v>
      </c>
      <c r="B69" s="6" t="s">
        <v>265</v>
      </c>
      <c r="C69" s="7" t="s">
        <v>30</v>
      </c>
      <c r="D69" s="6" t="s">
        <v>282</v>
      </c>
      <c r="E69" s="6" t="s">
        <v>283</v>
      </c>
      <c r="F69" s="6" t="s">
        <v>284</v>
      </c>
      <c r="G69" s="7" t="s">
        <v>16</v>
      </c>
      <c r="H69" s="7" t="s">
        <v>16</v>
      </c>
      <c r="I69" s="7" t="s">
        <v>16</v>
      </c>
      <c r="J69" s="6" t="s">
        <v>16</v>
      </c>
    </row>
    <row r="70" spans="1:10" x14ac:dyDescent="0.25">
      <c r="A70" s="8" t="s">
        <v>285</v>
      </c>
      <c r="B70" s="9" t="s">
        <v>265</v>
      </c>
      <c r="C70" s="10" t="s">
        <v>30</v>
      </c>
      <c r="D70" s="9" t="s">
        <v>286</v>
      </c>
      <c r="E70" s="9" t="s">
        <v>287</v>
      </c>
      <c r="F70" s="9" t="s">
        <v>288</v>
      </c>
      <c r="G70" s="10" t="s">
        <v>16</v>
      </c>
      <c r="H70" s="10" t="s">
        <v>16</v>
      </c>
      <c r="I70" s="10" t="s">
        <v>16</v>
      </c>
      <c r="J70" s="9" t="s">
        <v>16</v>
      </c>
    </row>
    <row r="71" spans="1:10" x14ac:dyDescent="0.25">
      <c r="A71" s="5" t="s">
        <v>289</v>
      </c>
      <c r="B71" s="6" t="s">
        <v>265</v>
      </c>
      <c r="C71" s="7" t="s">
        <v>12</v>
      </c>
      <c r="D71" s="6" t="s">
        <v>290</v>
      </c>
      <c r="E71" s="6" t="s">
        <v>291</v>
      </c>
      <c r="F71" s="6" t="s">
        <v>292</v>
      </c>
      <c r="G71" s="7" t="s">
        <v>16</v>
      </c>
      <c r="H71" s="7" t="s">
        <v>16</v>
      </c>
      <c r="I71" s="7" t="s">
        <v>16</v>
      </c>
      <c r="J71" s="6" t="s">
        <v>16</v>
      </c>
    </row>
    <row r="72" spans="1:10" x14ac:dyDescent="0.25">
      <c r="A72" s="2" t="s">
        <v>293</v>
      </c>
      <c r="B72" s="3" t="s">
        <v>294</v>
      </c>
      <c r="C72" s="4" t="s">
        <v>12</v>
      </c>
      <c r="D72" s="3" t="s">
        <v>295</v>
      </c>
      <c r="E72" s="3" t="s">
        <v>296</v>
      </c>
      <c r="F72" s="3" t="s">
        <v>297</v>
      </c>
      <c r="G72" s="4" t="s">
        <v>16</v>
      </c>
      <c r="H72" s="4" t="s">
        <v>16</v>
      </c>
      <c r="I72" s="4" t="s">
        <v>16</v>
      </c>
      <c r="J72" s="3" t="s">
        <v>16</v>
      </c>
    </row>
    <row r="73" spans="1:10" x14ac:dyDescent="0.25">
      <c r="A73" s="5" t="s">
        <v>298</v>
      </c>
      <c r="B73" s="6" t="s">
        <v>294</v>
      </c>
      <c r="C73" s="7" t="s">
        <v>12</v>
      </c>
      <c r="D73" s="6" t="s">
        <v>299</v>
      </c>
      <c r="E73" s="6" t="s">
        <v>300</v>
      </c>
      <c r="F73" s="6" t="s">
        <v>301</v>
      </c>
      <c r="G73" s="7" t="s">
        <v>16</v>
      </c>
      <c r="H73" s="7" t="s">
        <v>16</v>
      </c>
      <c r="I73" s="7" t="s">
        <v>16</v>
      </c>
      <c r="J73" s="6" t="s">
        <v>16</v>
      </c>
    </row>
    <row r="74" spans="1:10" x14ac:dyDescent="0.25">
      <c r="A74" s="8" t="s">
        <v>302</v>
      </c>
      <c r="B74" s="9" t="s">
        <v>294</v>
      </c>
      <c r="C74" s="10" t="s">
        <v>12</v>
      </c>
      <c r="D74" s="9" t="s">
        <v>303</v>
      </c>
      <c r="E74" s="9" t="s">
        <v>304</v>
      </c>
      <c r="F74" s="9" t="s">
        <v>305</v>
      </c>
      <c r="G74" s="10" t="s">
        <v>16</v>
      </c>
      <c r="H74" s="10" t="s">
        <v>16</v>
      </c>
      <c r="I74" s="10" t="s">
        <v>16</v>
      </c>
      <c r="J74" s="9" t="s">
        <v>16</v>
      </c>
    </row>
    <row r="75" spans="1:10" x14ac:dyDescent="0.25">
      <c r="A75" s="5" t="s">
        <v>306</v>
      </c>
      <c r="B75" s="6" t="s">
        <v>294</v>
      </c>
      <c r="C75" s="7" t="s">
        <v>12</v>
      </c>
      <c r="D75" s="6" t="s">
        <v>303</v>
      </c>
      <c r="E75" s="6" t="s">
        <v>307</v>
      </c>
      <c r="F75" s="6" t="s">
        <v>308</v>
      </c>
      <c r="G75" s="7" t="s">
        <v>16</v>
      </c>
      <c r="H75" s="7" t="s">
        <v>16</v>
      </c>
      <c r="I75" s="7" t="s">
        <v>16</v>
      </c>
      <c r="J75" s="6" t="s">
        <v>16</v>
      </c>
    </row>
    <row r="76" spans="1:10" x14ac:dyDescent="0.25">
      <c r="A76" s="8" t="s">
        <v>309</v>
      </c>
      <c r="B76" s="9" t="s">
        <v>294</v>
      </c>
      <c r="C76" s="10" t="s">
        <v>30</v>
      </c>
      <c r="D76" s="9" t="s">
        <v>310</v>
      </c>
      <c r="E76" s="9" t="s">
        <v>311</v>
      </c>
      <c r="F76" s="9" t="s">
        <v>312</v>
      </c>
      <c r="G76" s="10" t="s">
        <v>16</v>
      </c>
      <c r="H76" s="10" t="s">
        <v>16</v>
      </c>
      <c r="I76" s="10" t="s">
        <v>16</v>
      </c>
      <c r="J76" s="9" t="s">
        <v>16</v>
      </c>
    </row>
    <row r="77" spans="1:10" x14ac:dyDescent="0.25">
      <c r="A77" s="5" t="s">
        <v>313</v>
      </c>
      <c r="B77" s="6" t="s">
        <v>294</v>
      </c>
      <c r="C77" s="7" t="s">
        <v>30</v>
      </c>
      <c r="D77" s="6" t="s">
        <v>314</v>
      </c>
      <c r="E77" s="6" t="s">
        <v>315</v>
      </c>
      <c r="F77" s="6" t="s">
        <v>316</v>
      </c>
      <c r="G77" s="7" t="s">
        <v>16</v>
      </c>
      <c r="H77" s="7" t="s">
        <v>16</v>
      </c>
      <c r="I77" s="7" t="s">
        <v>16</v>
      </c>
      <c r="J77" s="6" t="s">
        <v>16</v>
      </c>
    </row>
    <row r="78" spans="1:10" x14ac:dyDescent="0.25">
      <c r="A78" s="2" t="s">
        <v>317</v>
      </c>
      <c r="B78" s="3" t="s">
        <v>318</v>
      </c>
      <c r="C78" s="4" t="s">
        <v>12</v>
      </c>
      <c r="D78" s="3" t="s">
        <v>319</v>
      </c>
      <c r="E78" s="3" t="s">
        <v>320</v>
      </c>
      <c r="F78" s="3" t="s">
        <v>321</v>
      </c>
      <c r="G78" s="4" t="s">
        <v>16</v>
      </c>
      <c r="H78" s="4" t="s">
        <v>16</v>
      </c>
      <c r="I78" s="4" t="s">
        <v>16</v>
      </c>
      <c r="J78" s="3" t="s">
        <v>16</v>
      </c>
    </row>
    <row r="79" spans="1:10" x14ac:dyDescent="0.25">
      <c r="A79" s="5" t="s">
        <v>322</v>
      </c>
      <c r="B79" s="6" t="s">
        <v>318</v>
      </c>
      <c r="C79" s="7" t="s">
        <v>12</v>
      </c>
      <c r="D79" s="6" t="s">
        <v>323</v>
      </c>
      <c r="E79" s="6" t="s">
        <v>324</v>
      </c>
      <c r="F79" s="6" t="s">
        <v>325</v>
      </c>
      <c r="G79" s="7" t="s">
        <v>16</v>
      </c>
      <c r="H79" s="7" t="s">
        <v>16</v>
      </c>
      <c r="I79" s="7" t="s">
        <v>16</v>
      </c>
      <c r="J79" s="6" t="s">
        <v>16</v>
      </c>
    </row>
    <row r="80" spans="1:10" x14ac:dyDescent="0.25">
      <c r="A80" s="8" t="s">
        <v>326</v>
      </c>
      <c r="B80" s="9" t="s">
        <v>318</v>
      </c>
      <c r="C80" s="10" t="s">
        <v>12</v>
      </c>
      <c r="D80" s="9" t="s">
        <v>327</v>
      </c>
      <c r="E80" s="9" t="s">
        <v>328</v>
      </c>
      <c r="F80" s="9" t="s">
        <v>329</v>
      </c>
      <c r="G80" s="10" t="s">
        <v>16</v>
      </c>
      <c r="H80" s="10" t="s">
        <v>16</v>
      </c>
      <c r="I80" s="10" t="s">
        <v>16</v>
      </c>
      <c r="J80" s="9" t="s">
        <v>16</v>
      </c>
    </row>
    <row r="81" spans="1:10" x14ac:dyDescent="0.25">
      <c r="A81" s="5" t="s">
        <v>330</v>
      </c>
      <c r="B81" s="6" t="s">
        <v>318</v>
      </c>
      <c r="C81" s="7" t="s">
        <v>12</v>
      </c>
      <c r="D81" s="6" t="s">
        <v>331</v>
      </c>
      <c r="E81" s="6" t="s">
        <v>328</v>
      </c>
      <c r="F81" s="6" t="s">
        <v>332</v>
      </c>
      <c r="G81" s="7" t="s">
        <v>16</v>
      </c>
      <c r="H81" s="7" t="s">
        <v>16</v>
      </c>
      <c r="I81" s="7" t="s">
        <v>16</v>
      </c>
      <c r="J81" s="6" t="s">
        <v>16</v>
      </c>
    </row>
    <row r="82" spans="1:10" x14ac:dyDescent="0.25">
      <c r="A82" s="8" t="s">
        <v>333</v>
      </c>
      <c r="B82" s="9" t="s">
        <v>318</v>
      </c>
      <c r="C82" s="10" t="s">
        <v>30</v>
      </c>
      <c r="D82" s="9" t="s">
        <v>334</v>
      </c>
      <c r="E82" s="9" t="s">
        <v>335</v>
      </c>
      <c r="F82" s="9" t="s">
        <v>336</v>
      </c>
      <c r="G82" s="10" t="s">
        <v>16</v>
      </c>
      <c r="H82" s="10" t="s">
        <v>16</v>
      </c>
      <c r="I82" s="10" t="s">
        <v>16</v>
      </c>
      <c r="J82" s="9" t="s">
        <v>16</v>
      </c>
    </row>
    <row r="83" spans="1:10" x14ac:dyDescent="0.25">
      <c r="A83" s="5" t="s">
        <v>337</v>
      </c>
      <c r="B83" s="6" t="s">
        <v>318</v>
      </c>
      <c r="C83" s="7" t="s">
        <v>60</v>
      </c>
      <c r="D83" s="6" t="s">
        <v>338</v>
      </c>
      <c r="E83" s="6" t="s">
        <v>339</v>
      </c>
      <c r="F83" s="6" t="s">
        <v>340</v>
      </c>
      <c r="G83" s="7" t="s">
        <v>16</v>
      </c>
      <c r="H83" s="7" t="s">
        <v>16</v>
      </c>
      <c r="I83" s="7" t="s">
        <v>16</v>
      </c>
      <c r="J83" s="6" t="s">
        <v>16</v>
      </c>
    </row>
    <row r="84" spans="1:10" x14ac:dyDescent="0.25">
      <c r="A84" s="2" t="s">
        <v>341</v>
      </c>
      <c r="B84" s="3" t="s">
        <v>342</v>
      </c>
      <c r="C84" s="4" t="s">
        <v>12</v>
      </c>
      <c r="D84" s="3" t="s">
        <v>343</v>
      </c>
      <c r="E84" s="3" t="s">
        <v>344</v>
      </c>
      <c r="F84" s="3" t="s">
        <v>345</v>
      </c>
      <c r="G84" s="4" t="s">
        <v>16</v>
      </c>
      <c r="H84" s="4" t="s">
        <v>16</v>
      </c>
      <c r="I84" s="4" t="s">
        <v>16</v>
      </c>
      <c r="J84" s="3" t="s">
        <v>16</v>
      </c>
    </row>
    <row r="85" spans="1:10" x14ac:dyDescent="0.25">
      <c r="A85" s="5" t="s">
        <v>346</v>
      </c>
      <c r="B85" s="6" t="s">
        <v>342</v>
      </c>
      <c r="C85" s="7" t="s">
        <v>12</v>
      </c>
      <c r="D85" s="6" t="s">
        <v>347</v>
      </c>
      <c r="E85" s="6" t="s">
        <v>348</v>
      </c>
      <c r="F85" s="6" t="s">
        <v>349</v>
      </c>
      <c r="G85" s="7" t="s">
        <v>16</v>
      </c>
      <c r="H85" s="7" t="s">
        <v>16</v>
      </c>
      <c r="I85" s="7" t="s">
        <v>16</v>
      </c>
      <c r="J85" s="6" t="s">
        <v>16</v>
      </c>
    </row>
    <row r="86" spans="1:10" x14ac:dyDescent="0.25">
      <c r="A86" s="8" t="s">
        <v>350</v>
      </c>
      <c r="B86" s="9" t="s">
        <v>342</v>
      </c>
      <c r="C86" s="10" t="s">
        <v>12</v>
      </c>
      <c r="D86" s="9" t="s">
        <v>351</v>
      </c>
      <c r="E86" s="9" t="s">
        <v>352</v>
      </c>
      <c r="F86" s="9" t="s">
        <v>353</v>
      </c>
      <c r="G86" s="10" t="s">
        <v>16</v>
      </c>
      <c r="H86" s="10" t="s">
        <v>16</v>
      </c>
      <c r="I86" s="10" t="s">
        <v>16</v>
      </c>
      <c r="J86" s="9" t="s">
        <v>16</v>
      </c>
    </row>
    <row r="87" spans="1:10" x14ac:dyDescent="0.25">
      <c r="A87" s="5" t="s">
        <v>354</v>
      </c>
      <c r="B87" s="6" t="s">
        <v>342</v>
      </c>
      <c r="C87" s="7" t="s">
        <v>30</v>
      </c>
      <c r="D87" s="6" t="s">
        <v>355</v>
      </c>
      <c r="E87" s="6" t="s">
        <v>356</v>
      </c>
      <c r="F87" s="6" t="s">
        <v>357</v>
      </c>
      <c r="G87" s="7" t="s">
        <v>16</v>
      </c>
      <c r="H87" s="7" t="s">
        <v>16</v>
      </c>
      <c r="I87" s="7" t="s">
        <v>16</v>
      </c>
      <c r="J87" s="6" t="s">
        <v>16</v>
      </c>
    </row>
    <row r="88" spans="1:10" x14ac:dyDescent="0.25">
      <c r="A88" s="8" t="s">
        <v>358</v>
      </c>
      <c r="B88" s="9" t="s">
        <v>342</v>
      </c>
      <c r="C88" s="10" t="s">
        <v>30</v>
      </c>
      <c r="D88" s="9" t="s">
        <v>359</v>
      </c>
      <c r="E88" s="9" t="s">
        <v>360</v>
      </c>
      <c r="F88" s="9" t="s">
        <v>361</v>
      </c>
      <c r="G88" s="10" t="s">
        <v>16</v>
      </c>
      <c r="H88" s="10" t="s">
        <v>16</v>
      </c>
      <c r="I88" s="10" t="s">
        <v>16</v>
      </c>
      <c r="J88" s="9" t="s">
        <v>16</v>
      </c>
    </row>
    <row r="89" spans="1:10" x14ac:dyDescent="0.25">
      <c r="A89" s="5" t="s">
        <v>362</v>
      </c>
      <c r="B89" s="6" t="s">
        <v>342</v>
      </c>
      <c r="C89" s="7" t="s">
        <v>30</v>
      </c>
      <c r="D89" s="6" t="s">
        <v>363</v>
      </c>
      <c r="E89" s="6" t="s">
        <v>364</v>
      </c>
      <c r="F89" s="6" t="s">
        <v>365</v>
      </c>
      <c r="G89" s="7" t="s">
        <v>16</v>
      </c>
      <c r="H89" s="7" t="s">
        <v>16</v>
      </c>
      <c r="I89" s="7" t="s">
        <v>16</v>
      </c>
      <c r="J89" s="6" t="s">
        <v>16</v>
      </c>
    </row>
    <row r="90" spans="1:10" x14ac:dyDescent="0.25">
      <c r="A90" s="2" t="s">
        <v>366</v>
      </c>
      <c r="B90" s="3" t="s">
        <v>367</v>
      </c>
      <c r="C90" s="4" t="s">
        <v>12</v>
      </c>
      <c r="D90" s="3" t="s">
        <v>368</v>
      </c>
      <c r="E90" s="3" t="s">
        <v>369</v>
      </c>
      <c r="F90" s="3" t="s">
        <v>370</v>
      </c>
      <c r="G90" s="4" t="s">
        <v>16</v>
      </c>
      <c r="H90" s="4" t="s">
        <v>16</v>
      </c>
      <c r="I90" s="4" t="s">
        <v>16</v>
      </c>
      <c r="J90" s="3" t="s">
        <v>16</v>
      </c>
    </row>
    <row r="91" spans="1:10" x14ac:dyDescent="0.25">
      <c r="A91" s="5" t="s">
        <v>371</v>
      </c>
      <c r="B91" s="6" t="s">
        <v>367</v>
      </c>
      <c r="C91" s="7" t="s">
        <v>12</v>
      </c>
      <c r="D91" s="6" t="s">
        <v>372</v>
      </c>
      <c r="E91" s="6" t="s">
        <v>373</v>
      </c>
      <c r="F91" s="6" t="s">
        <v>374</v>
      </c>
      <c r="G91" s="7" t="s">
        <v>16</v>
      </c>
      <c r="H91" s="7" t="s">
        <v>16</v>
      </c>
      <c r="I91" s="7" t="s">
        <v>16</v>
      </c>
      <c r="J91" s="6" t="s">
        <v>16</v>
      </c>
    </row>
    <row r="92" spans="1:10" x14ac:dyDescent="0.25">
      <c r="A92" s="8" t="s">
        <v>375</v>
      </c>
      <c r="B92" s="9" t="s">
        <v>367</v>
      </c>
      <c r="C92" s="10" t="s">
        <v>12</v>
      </c>
      <c r="D92" s="9" t="s">
        <v>319</v>
      </c>
      <c r="E92" s="9" t="s">
        <v>376</v>
      </c>
      <c r="F92" s="9" t="s">
        <v>377</v>
      </c>
      <c r="G92" s="10" t="s">
        <v>16</v>
      </c>
      <c r="H92" s="10" t="s">
        <v>16</v>
      </c>
      <c r="I92" s="10" t="s">
        <v>16</v>
      </c>
      <c r="J92" s="9" t="s">
        <v>16</v>
      </c>
    </row>
    <row r="93" spans="1:10" x14ac:dyDescent="0.25">
      <c r="A93" s="5" t="s">
        <v>378</v>
      </c>
      <c r="B93" s="6" t="s">
        <v>367</v>
      </c>
      <c r="C93" s="7" t="s">
        <v>30</v>
      </c>
      <c r="D93" s="6" t="s">
        <v>379</v>
      </c>
      <c r="E93" s="6" t="s">
        <v>380</v>
      </c>
      <c r="F93" s="6" t="s">
        <v>381</v>
      </c>
      <c r="G93" s="7" t="s">
        <v>16</v>
      </c>
      <c r="H93" s="7" t="s">
        <v>16</v>
      </c>
      <c r="I93" s="7" t="s">
        <v>16</v>
      </c>
      <c r="J93" s="6" t="s">
        <v>16</v>
      </c>
    </row>
    <row r="94" spans="1:10" x14ac:dyDescent="0.25">
      <c r="A94" s="8" t="s">
        <v>382</v>
      </c>
      <c r="B94" s="9" t="s">
        <v>367</v>
      </c>
      <c r="C94" s="10" t="s">
        <v>30</v>
      </c>
      <c r="D94" s="9" t="s">
        <v>379</v>
      </c>
      <c r="E94" s="9" t="s">
        <v>383</v>
      </c>
      <c r="F94" s="9" t="s">
        <v>384</v>
      </c>
      <c r="G94" s="10" t="s">
        <v>16</v>
      </c>
      <c r="H94" s="10" t="s">
        <v>16</v>
      </c>
      <c r="I94" s="10" t="s">
        <v>16</v>
      </c>
      <c r="J94" s="9" t="s">
        <v>16</v>
      </c>
    </row>
    <row r="95" spans="1:10" x14ac:dyDescent="0.25">
      <c r="A95" s="5" t="s">
        <v>385</v>
      </c>
      <c r="B95" s="6" t="s">
        <v>367</v>
      </c>
      <c r="C95" s="7" t="s">
        <v>30</v>
      </c>
      <c r="D95" s="6" t="s">
        <v>386</v>
      </c>
      <c r="E95" s="6" t="s">
        <v>387</v>
      </c>
      <c r="F95" s="6" t="s">
        <v>388</v>
      </c>
      <c r="G95" s="7" t="s">
        <v>16</v>
      </c>
      <c r="H95" s="7" t="s">
        <v>16</v>
      </c>
      <c r="I95" s="7" t="s">
        <v>16</v>
      </c>
      <c r="J95" s="6" t="s">
        <v>16</v>
      </c>
    </row>
    <row r="96" spans="1:10" x14ac:dyDescent="0.25">
      <c r="A96" s="8" t="s">
        <v>389</v>
      </c>
      <c r="B96" s="9" t="s">
        <v>367</v>
      </c>
      <c r="C96" s="10" t="s">
        <v>12</v>
      </c>
      <c r="D96" s="9" t="s">
        <v>390</v>
      </c>
      <c r="E96" s="9" t="s">
        <v>391</v>
      </c>
      <c r="F96" s="9" t="s">
        <v>392</v>
      </c>
      <c r="G96" s="10" t="s">
        <v>16</v>
      </c>
      <c r="H96" s="10" t="s">
        <v>16</v>
      </c>
      <c r="I96" s="10" t="s">
        <v>16</v>
      </c>
      <c r="J96" s="9" t="s">
        <v>16</v>
      </c>
    </row>
    <row r="97" spans="1:10" x14ac:dyDescent="0.25">
      <c r="A97" s="2" t="s">
        <v>393</v>
      </c>
      <c r="B97" s="3" t="s">
        <v>394</v>
      </c>
      <c r="C97" s="4" t="s">
        <v>12</v>
      </c>
      <c r="D97" s="3" t="s">
        <v>395</v>
      </c>
      <c r="E97" s="3" t="s">
        <v>396</v>
      </c>
      <c r="F97" s="3" t="s">
        <v>397</v>
      </c>
      <c r="G97" s="4" t="s">
        <v>16</v>
      </c>
      <c r="H97" s="4" t="s">
        <v>16</v>
      </c>
      <c r="I97" s="4" t="s">
        <v>16</v>
      </c>
      <c r="J97" s="3" t="s">
        <v>16</v>
      </c>
    </row>
    <row r="98" spans="1:10" x14ac:dyDescent="0.25">
      <c r="A98" s="8" t="s">
        <v>398</v>
      </c>
      <c r="B98" s="9" t="s">
        <v>394</v>
      </c>
      <c r="C98" s="10" t="s">
        <v>12</v>
      </c>
      <c r="D98" s="9" t="s">
        <v>399</v>
      </c>
      <c r="E98" s="9" t="s">
        <v>400</v>
      </c>
      <c r="F98" s="9" t="s">
        <v>401</v>
      </c>
      <c r="G98" s="10" t="s">
        <v>16</v>
      </c>
      <c r="H98" s="10" t="s">
        <v>16</v>
      </c>
      <c r="I98" s="10" t="s">
        <v>16</v>
      </c>
      <c r="J98" s="9" t="s">
        <v>16</v>
      </c>
    </row>
    <row r="99" spans="1:10" x14ac:dyDescent="0.25">
      <c r="A99" s="5" t="s">
        <v>402</v>
      </c>
      <c r="B99" s="6" t="s">
        <v>394</v>
      </c>
      <c r="C99" s="7" t="s">
        <v>12</v>
      </c>
      <c r="D99" s="6" t="s">
        <v>261</v>
      </c>
      <c r="E99" s="6" t="s">
        <v>403</v>
      </c>
      <c r="F99" s="6" t="s">
        <v>404</v>
      </c>
      <c r="G99" s="7" t="s">
        <v>16</v>
      </c>
      <c r="H99" s="7" t="s">
        <v>16</v>
      </c>
      <c r="I99" s="7" t="s">
        <v>16</v>
      </c>
      <c r="J99" s="6" t="s">
        <v>16</v>
      </c>
    </row>
    <row r="100" spans="1:10" x14ac:dyDescent="0.25">
      <c r="A100" s="8" t="s">
        <v>405</v>
      </c>
      <c r="B100" s="9" t="s">
        <v>394</v>
      </c>
      <c r="C100" s="10" t="s">
        <v>30</v>
      </c>
      <c r="D100" s="9" t="s">
        <v>406</v>
      </c>
      <c r="E100" s="9" t="s">
        <v>407</v>
      </c>
      <c r="F100" s="9" t="s">
        <v>408</v>
      </c>
      <c r="G100" s="10" t="s">
        <v>16</v>
      </c>
      <c r="H100" s="10" t="s">
        <v>16</v>
      </c>
      <c r="I100" s="10" t="s">
        <v>16</v>
      </c>
      <c r="J100" s="9" t="s">
        <v>16</v>
      </c>
    </row>
    <row r="101" spans="1:10" x14ac:dyDescent="0.25">
      <c r="A101" s="5" t="s">
        <v>409</v>
      </c>
      <c r="B101" s="6" t="s">
        <v>394</v>
      </c>
      <c r="C101" s="7" t="s">
        <v>12</v>
      </c>
      <c r="D101" s="6" t="s">
        <v>410</v>
      </c>
      <c r="E101" s="6" t="s">
        <v>411</v>
      </c>
      <c r="F101" s="6" t="s">
        <v>412</v>
      </c>
      <c r="G101" s="7" t="s">
        <v>16</v>
      </c>
      <c r="H101" s="7" t="s">
        <v>16</v>
      </c>
      <c r="I101" s="7" t="s">
        <v>16</v>
      </c>
      <c r="J101" s="6" t="s">
        <v>16</v>
      </c>
    </row>
    <row r="102" spans="1:10" x14ac:dyDescent="0.25">
      <c r="A102" s="8" t="s">
        <v>413</v>
      </c>
      <c r="B102" s="9" t="s">
        <v>394</v>
      </c>
      <c r="C102" s="10" t="s">
        <v>12</v>
      </c>
      <c r="D102" s="9" t="s">
        <v>414</v>
      </c>
      <c r="E102" s="9" t="s">
        <v>415</v>
      </c>
      <c r="F102" s="9" t="s">
        <v>416</v>
      </c>
      <c r="G102" s="10" t="s">
        <v>16</v>
      </c>
      <c r="H102" s="10" t="s">
        <v>16</v>
      </c>
      <c r="I102" s="10" t="s">
        <v>16</v>
      </c>
      <c r="J102" s="9" t="s">
        <v>16</v>
      </c>
    </row>
    <row r="103" spans="1:10" x14ac:dyDescent="0.25">
      <c r="A103" s="5" t="s">
        <v>417</v>
      </c>
      <c r="B103" s="6" t="s">
        <v>394</v>
      </c>
      <c r="C103" s="7" t="s">
        <v>30</v>
      </c>
      <c r="D103" s="6" t="s">
        <v>48</v>
      </c>
      <c r="E103" s="6" t="s">
        <v>418</v>
      </c>
      <c r="F103" s="6" t="s">
        <v>419</v>
      </c>
      <c r="G103" s="7" t="s">
        <v>16</v>
      </c>
      <c r="H103" s="7" t="s">
        <v>16</v>
      </c>
      <c r="I103" s="7" t="s">
        <v>16</v>
      </c>
      <c r="J103" s="6" t="s">
        <v>16</v>
      </c>
    </row>
    <row r="104" spans="1:10" x14ac:dyDescent="0.25">
      <c r="A104" s="8" t="s">
        <v>420</v>
      </c>
      <c r="B104" s="9" t="s">
        <v>394</v>
      </c>
      <c r="C104" s="10" t="s">
        <v>60</v>
      </c>
      <c r="D104" s="9" t="s">
        <v>261</v>
      </c>
      <c r="E104" s="9" t="s">
        <v>421</v>
      </c>
      <c r="F104" s="9" t="s">
        <v>422</v>
      </c>
      <c r="G104" s="10" t="s">
        <v>16</v>
      </c>
      <c r="H104" s="10" t="s">
        <v>16</v>
      </c>
      <c r="I104" s="10" t="s">
        <v>16</v>
      </c>
      <c r="J104" s="9" t="s">
        <v>16</v>
      </c>
    </row>
    <row r="105" spans="1:10" x14ac:dyDescent="0.25">
      <c r="A105" s="2" t="s">
        <v>423</v>
      </c>
      <c r="B105" s="3" t="s">
        <v>424</v>
      </c>
      <c r="C105" s="4" t="s">
        <v>12</v>
      </c>
      <c r="D105" s="3" t="s">
        <v>425</v>
      </c>
      <c r="E105" s="3" t="s">
        <v>426</v>
      </c>
      <c r="F105" s="3" t="s">
        <v>427</v>
      </c>
      <c r="G105" s="4" t="s">
        <v>16</v>
      </c>
      <c r="H105" s="4" t="s">
        <v>16</v>
      </c>
      <c r="I105" s="4" t="s">
        <v>16</v>
      </c>
      <c r="J105" s="3" t="s">
        <v>16</v>
      </c>
    </row>
    <row r="106" spans="1:10" x14ac:dyDescent="0.25">
      <c r="A106" s="8" t="s">
        <v>428</v>
      </c>
      <c r="B106" s="9" t="s">
        <v>424</v>
      </c>
      <c r="C106" s="10" t="s">
        <v>12</v>
      </c>
      <c r="D106" s="9" t="s">
        <v>429</v>
      </c>
      <c r="E106" s="9" t="s">
        <v>430</v>
      </c>
      <c r="F106" s="9" t="s">
        <v>431</v>
      </c>
      <c r="G106" s="10" t="s">
        <v>16</v>
      </c>
      <c r="H106" s="10" t="s">
        <v>16</v>
      </c>
      <c r="I106" s="10" t="s">
        <v>16</v>
      </c>
      <c r="J106" s="9" t="s">
        <v>16</v>
      </c>
    </row>
    <row r="107" spans="1:10" x14ac:dyDescent="0.25">
      <c r="A107" s="5" t="s">
        <v>432</v>
      </c>
      <c r="B107" s="6" t="s">
        <v>424</v>
      </c>
      <c r="C107" s="7" t="s">
        <v>12</v>
      </c>
      <c r="D107" s="6" t="s">
        <v>433</v>
      </c>
      <c r="E107" s="6" t="s">
        <v>434</v>
      </c>
      <c r="F107" s="6" t="s">
        <v>435</v>
      </c>
      <c r="G107" s="7" t="s">
        <v>16</v>
      </c>
      <c r="H107" s="7" t="s">
        <v>16</v>
      </c>
      <c r="I107" s="7" t="s">
        <v>16</v>
      </c>
      <c r="J107" s="6" t="s">
        <v>16</v>
      </c>
    </row>
    <row r="108" spans="1:10" x14ac:dyDescent="0.25">
      <c r="A108" s="8" t="s">
        <v>436</v>
      </c>
      <c r="B108" s="9" t="s">
        <v>424</v>
      </c>
      <c r="C108" s="10" t="s">
        <v>30</v>
      </c>
      <c r="D108" s="9" t="s">
        <v>437</v>
      </c>
      <c r="E108" s="9" t="s">
        <v>426</v>
      </c>
      <c r="F108" s="9" t="s">
        <v>438</v>
      </c>
      <c r="G108" s="10" t="s">
        <v>16</v>
      </c>
      <c r="H108" s="10" t="s">
        <v>16</v>
      </c>
      <c r="I108" s="10" t="s">
        <v>16</v>
      </c>
      <c r="J108" s="9" t="s">
        <v>16</v>
      </c>
    </row>
    <row r="109" spans="1:10" x14ac:dyDescent="0.25">
      <c r="A109" s="5" t="s">
        <v>439</v>
      </c>
      <c r="B109" s="6" t="s">
        <v>424</v>
      </c>
      <c r="C109" s="7" t="s">
        <v>30</v>
      </c>
      <c r="D109" s="6" t="s">
        <v>440</v>
      </c>
      <c r="E109" s="6" t="s">
        <v>441</v>
      </c>
      <c r="F109" s="6" t="s">
        <v>442</v>
      </c>
      <c r="G109" s="7" t="s">
        <v>16</v>
      </c>
      <c r="H109" s="7" t="s">
        <v>16</v>
      </c>
      <c r="I109" s="7" t="s">
        <v>16</v>
      </c>
      <c r="J109" s="6" t="s">
        <v>16</v>
      </c>
    </row>
    <row r="110" spans="1:10" x14ac:dyDescent="0.25">
      <c r="A110" s="2" t="s">
        <v>264</v>
      </c>
      <c r="B110" s="3" t="s">
        <v>443</v>
      </c>
      <c r="C110" s="4" t="s">
        <v>12</v>
      </c>
      <c r="D110" s="3" t="s">
        <v>8</v>
      </c>
      <c r="E110" s="3" t="s">
        <v>444</v>
      </c>
      <c r="F110" s="3" t="s">
        <v>445</v>
      </c>
      <c r="G110" s="4" t="s">
        <v>16</v>
      </c>
      <c r="H110" s="4" t="s">
        <v>16</v>
      </c>
      <c r="I110" s="4" t="s">
        <v>16</v>
      </c>
      <c r="J110" s="3" t="s">
        <v>16</v>
      </c>
    </row>
    <row r="111" spans="1:10" x14ac:dyDescent="0.25">
      <c r="A111" s="5" t="s">
        <v>269</v>
      </c>
      <c r="B111" s="6" t="s">
        <v>443</v>
      </c>
      <c r="C111" s="7" t="s">
        <v>12</v>
      </c>
      <c r="D111" s="6" t="s">
        <v>446</v>
      </c>
      <c r="E111" s="6" t="s">
        <v>447</v>
      </c>
      <c r="F111" s="6" t="s">
        <v>448</v>
      </c>
      <c r="G111" s="7" t="s">
        <v>16</v>
      </c>
      <c r="H111" s="7" t="s">
        <v>16</v>
      </c>
      <c r="I111" s="7" t="s">
        <v>16</v>
      </c>
      <c r="J111" s="6" t="s">
        <v>16</v>
      </c>
    </row>
    <row r="112" spans="1:10" x14ac:dyDescent="0.25">
      <c r="A112" s="8" t="s">
        <v>273</v>
      </c>
      <c r="B112" s="9" t="s">
        <v>443</v>
      </c>
      <c r="C112" s="10" t="s">
        <v>12</v>
      </c>
      <c r="D112" s="9" t="s">
        <v>449</v>
      </c>
      <c r="E112" s="9" t="s">
        <v>450</v>
      </c>
      <c r="F112" s="9" t="s">
        <v>451</v>
      </c>
      <c r="G112" s="10" t="s">
        <v>16</v>
      </c>
      <c r="H112" s="10" t="s">
        <v>16</v>
      </c>
      <c r="I112" s="10" t="s">
        <v>16</v>
      </c>
      <c r="J112" s="9" t="s">
        <v>16</v>
      </c>
    </row>
    <row r="113" spans="1:10" x14ac:dyDescent="0.25">
      <c r="A113" s="5" t="s">
        <v>277</v>
      </c>
      <c r="B113" s="6" t="s">
        <v>443</v>
      </c>
      <c r="C113" s="7" t="s">
        <v>12</v>
      </c>
      <c r="D113" s="6" t="s">
        <v>7</v>
      </c>
      <c r="E113" s="6" t="s">
        <v>452</v>
      </c>
      <c r="F113" s="6" t="s">
        <v>453</v>
      </c>
      <c r="G113" s="7" t="s">
        <v>16</v>
      </c>
      <c r="H113" s="7" t="s">
        <v>16</v>
      </c>
      <c r="I113" s="7" t="s">
        <v>16</v>
      </c>
      <c r="J113" s="6" t="s">
        <v>16</v>
      </c>
    </row>
    <row r="114" spans="1:10" x14ac:dyDescent="0.25">
      <c r="A114" s="8" t="s">
        <v>281</v>
      </c>
      <c r="B114" s="9" t="s">
        <v>443</v>
      </c>
      <c r="C114" s="10" t="s">
        <v>30</v>
      </c>
      <c r="D114" s="9" t="s">
        <v>8</v>
      </c>
      <c r="E114" s="9" t="s">
        <v>454</v>
      </c>
      <c r="F114" s="9" t="s">
        <v>455</v>
      </c>
      <c r="G114" s="10" t="s">
        <v>16</v>
      </c>
      <c r="H114" s="10" t="s">
        <v>16</v>
      </c>
      <c r="I114" s="10" t="s">
        <v>16</v>
      </c>
      <c r="J114" s="9" t="s">
        <v>16</v>
      </c>
    </row>
  </sheetData>
  <autoFilter ref="A1:J114"/>
  <dataValidations count="4">
    <dataValidation type="list" allowBlank="1" sqref="C10:C114">
      <formula1>"P1,P2,P3"</formula1>
    </dataValidation>
    <dataValidation type="list" allowBlank="1" sqref="C2:C114">
      <formula1>"P1,P2,P3"</formula1>
    </dataValidation>
    <dataValidation type="list" allowBlank="1" showErrorMessage="1" errorTitle="Invalid" error="Choose Pass, Fail, Blocked or Not Tested" sqref="G10:I114">
      <formula1>"Pass,Fail,Blocked,Not Tested"</formula1>
    </dataValidation>
    <dataValidation type="list" allowBlank="1" showErrorMessage="1" errorTitle="Invalid" error="Choose Pass, Fail, Blocked or Not Tested" sqref="G2:I114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44" customWidth="1"/>
    <col min="3" max="4" width="58" customWidth="1"/>
    <col min="5" max="7" width="11" customWidth="1"/>
  </cols>
  <sheetData>
    <row r="1" ht="26" customHeight="1" spans="1:7" x14ac:dyDescent="0.25">
      <c r="A1" s="1" t="s">
        <v>0</v>
      </c>
      <c r="B1" s="1" t="s">
        <v>456</v>
      </c>
      <c r="C1" s="1" t="s">
        <v>457</v>
      </c>
      <c r="D1" s="1" t="s">
        <v>458</v>
      </c>
      <c r="E1" s="1" t="s">
        <v>6</v>
      </c>
      <c r="F1" s="1" t="s">
        <v>7</v>
      </c>
      <c r="G1" s="1" t="s">
        <v>8</v>
      </c>
    </row>
    <row r="2" spans="1:7" x14ac:dyDescent="0.25">
      <c r="A2" s="8" t="s">
        <v>459</v>
      </c>
      <c r="B2" s="9" t="s">
        <v>460</v>
      </c>
      <c r="C2" s="9" t="s">
        <v>461</v>
      </c>
      <c r="D2" s="9" t="s">
        <v>462</v>
      </c>
      <c r="E2" s="10" t="s">
        <v>16</v>
      </c>
      <c r="F2" s="10" t="s">
        <v>16</v>
      </c>
      <c r="G2" s="10" t="s">
        <v>16</v>
      </c>
    </row>
    <row r="3" spans="1:7" x14ac:dyDescent="0.25">
      <c r="A3" s="5" t="s">
        <v>463</v>
      </c>
      <c r="B3" s="6" t="s">
        <v>464</v>
      </c>
      <c r="C3" s="6" t="s">
        <v>465</v>
      </c>
      <c r="D3" s="6" t="s">
        <v>466</v>
      </c>
      <c r="E3" s="7" t="s">
        <v>16</v>
      </c>
      <c r="F3" s="7" t="s">
        <v>16</v>
      </c>
      <c r="G3" s="7" t="s">
        <v>16</v>
      </c>
    </row>
    <row r="4" spans="1:7" x14ac:dyDescent="0.25">
      <c r="A4" s="8" t="s">
        <v>467</v>
      </c>
      <c r="B4" s="9" t="s">
        <v>468</v>
      </c>
      <c r="C4" s="9" t="s">
        <v>469</v>
      </c>
      <c r="D4" s="9" t="s">
        <v>470</v>
      </c>
      <c r="E4" s="10" t="s">
        <v>16</v>
      </c>
      <c r="F4" s="10" t="s">
        <v>16</v>
      </c>
      <c r="G4" s="10" t="s">
        <v>16</v>
      </c>
    </row>
    <row r="5" spans="1:7" x14ac:dyDescent="0.25">
      <c r="A5" s="5" t="s">
        <v>471</v>
      </c>
      <c r="B5" s="6" t="s">
        <v>472</v>
      </c>
      <c r="C5" s="6" t="s">
        <v>473</v>
      </c>
      <c r="D5" s="6" t="s">
        <v>474</v>
      </c>
      <c r="E5" s="7" t="s">
        <v>16</v>
      </c>
      <c r="F5" s="7" t="s">
        <v>16</v>
      </c>
      <c r="G5" s="7" t="s">
        <v>16</v>
      </c>
    </row>
    <row r="6" spans="1:7" x14ac:dyDescent="0.25">
      <c r="A6" s="8" t="s">
        <v>475</v>
      </c>
      <c r="B6" s="9" t="s">
        <v>476</v>
      </c>
      <c r="C6" s="9" t="s">
        <v>477</v>
      </c>
      <c r="D6" s="9" t="s">
        <v>478</v>
      </c>
      <c r="E6" s="10" t="s">
        <v>16</v>
      </c>
      <c r="F6" s="10" t="s">
        <v>16</v>
      </c>
      <c r="G6" s="10" t="s">
        <v>16</v>
      </c>
    </row>
    <row r="7" spans="1:7" x14ac:dyDescent="0.25">
      <c r="A7" s="5" t="s">
        <v>479</v>
      </c>
      <c r="B7" s="6" t="s">
        <v>480</v>
      </c>
      <c r="C7" s="6" t="s">
        <v>481</v>
      </c>
      <c r="D7" s="6" t="s">
        <v>482</v>
      </c>
      <c r="E7" s="7" t="s">
        <v>16</v>
      </c>
      <c r="F7" s="7" t="s">
        <v>16</v>
      </c>
      <c r="G7" s="7" t="s">
        <v>16</v>
      </c>
    </row>
    <row r="8" spans="1:7" x14ac:dyDescent="0.25">
      <c r="A8" s="8" t="s">
        <v>483</v>
      </c>
      <c r="B8" s="9" t="s">
        <v>484</v>
      </c>
      <c r="C8" s="9" t="s">
        <v>485</v>
      </c>
      <c r="D8" s="9" t="s">
        <v>486</v>
      </c>
      <c r="E8" s="10" t="s">
        <v>16</v>
      </c>
      <c r="F8" s="10" t="s">
        <v>16</v>
      </c>
      <c r="G8" s="10" t="s">
        <v>16</v>
      </c>
    </row>
    <row r="9" spans="1:7" x14ac:dyDescent="0.25">
      <c r="A9" s="5" t="s">
        <v>487</v>
      </c>
      <c r="B9" s="6" t="s">
        <v>488</v>
      </c>
      <c r="C9" s="6" t="s">
        <v>489</v>
      </c>
      <c r="D9" s="6" t="s">
        <v>490</v>
      </c>
      <c r="E9" s="7" t="s">
        <v>16</v>
      </c>
      <c r="F9" s="7" t="s">
        <v>16</v>
      </c>
      <c r="G9" s="7" t="s">
        <v>16</v>
      </c>
    </row>
    <row r="10" spans="1:7" x14ac:dyDescent="0.25">
      <c r="A10" s="8" t="s">
        <v>491</v>
      </c>
      <c r="B10" s="9" t="s">
        <v>492</v>
      </c>
      <c r="C10" s="9" t="s">
        <v>493</v>
      </c>
      <c r="D10" s="9" t="s">
        <v>494</v>
      </c>
      <c r="E10" s="10" t="s">
        <v>16</v>
      </c>
      <c r="F10" s="10" t="s">
        <v>16</v>
      </c>
      <c r="G10" s="10" t="s">
        <v>16</v>
      </c>
    </row>
    <row r="11" spans="1:7" x14ac:dyDescent="0.25">
      <c r="A11" s="5" t="s">
        <v>495</v>
      </c>
      <c r="B11" s="6" t="s">
        <v>496</v>
      </c>
      <c r="C11" s="6" t="s">
        <v>497</v>
      </c>
      <c r="D11" s="6" t="s">
        <v>498</v>
      </c>
      <c r="E11" s="7" t="s">
        <v>16</v>
      </c>
      <c r="F11" s="7" t="s">
        <v>16</v>
      </c>
      <c r="G11" s="7" t="s">
        <v>16</v>
      </c>
    </row>
    <row r="12" spans="1:7" x14ac:dyDescent="0.25">
      <c r="A12" s="8" t="s">
        <v>499</v>
      </c>
      <c r="B12" s="9" t="s">
        <v>500</v>
      </c>
      <c r="C12" s="9" t="s">
        <v>501</v>
      </c>
      <c r="D12" s="9" t="s">
        <v>502</v>
      </c>
      <c r="E12" s="10" t="s">
        <v>16</v>
      </c>
      <c r="F12" s="10" t="s">
        <v>16</v>
      </c>
      <c r="G12" s="10" t="s">
        <v>16</v>
      </c>
    </row>
  </sheetData>
  <dataValidations count="2">
    <dataValidation type="list" allowBlank="1" showErrorMessage="1" errorTitle="Invalid" error="Choose Pass, Fail, Blocked or Not Tested" sqref="E10:G12">
      <formula1>"Pass,Fail,Blocked,Not Tested"</formula1>
    </dataValidation>
    <dataValidation type="list" allowBlank="1" showErrorMessage="1" errorTitle="Invalid" error="Choose Pass, Fail, Blocked or Not Tested" sqref="E2:G12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30" customWidth="1"/>
    <col min="2" max="4" width="15" customWidth="1"/>
    <col min="5" max="5" width="46" customWidth="1"/>
  </cols>
  <sheetData>
    <row r="1" spans="1:1" x14ac:dyDescent="0.25">
      <c r="A1" s="11" t="s">
        <v>503</v>
      </c>
    </row>
    <row r="2" spans="1:1" x14ac:dyDescent="0.25">
      <c r="A2" s="12" t="s">
        <v>504</v>
      </c>
    </row>
    <row r="4" spans="1:1" x14ac:dyDescent="0.25">
      <c r="A4" s="13" t="s">
        <v>505</v>
      </c>
    </row>
    <row r="5" spans="1:3" x14ac:dyDescent="0.25">
      <c r="A5" s="14" t="s">
        <v>506</v>
      </c>
      <c r="B5" s="15" t="s">
        <v>16</v>
      </c>
      <c r="C5" s="16" t="s">
        <v>507</v>
      </c>
    </row>
    <row r="6" spans="1:2" x14ac:dyDescent="0.25">
      <c r="A6" s="14" t="s">
        <v>508</v>
      </c>
      <c r="B6" s="15" t="s">
        <v>16</v>
      </c>
    </row>
    <row r="7" spans="1:2" x14ac:dyDescent="0.25">
      <c r="A7" s="14" t="s">
        <v>509</v>
      </c>
      <c r="B7" s="15" t="s">
        <v>510</v>
      </c>
    </row>
    <row r="8" spans="1:2" x14ac:dyDescent="0.25">
      <c r="A8" s="14" t="s">
        <v>511</v>
      </c>
      <c r="B8" s="15" t="s">
        <v>16</v>
      </c>
    </row>
    <row r="9" spans="1:2" x14ac:dyDescent="0.25">
      <c r="A9" s="14" t="s">
        <v>512</v>
      </c>
      <c r="B9" s="15" t="s">
        <v>16</v>
      </c>
    </row>
    <row r="10" spans="1:2" x14ac:dyDescent="0.25">
      <c r="A10" s="14" t="s">
        <v>513</v>
      </c>
      <c r="B10" s="15" t="s">
        <v>16</v>
      </c>
    </row>
    <row r="12" spans="1:1" x14ac:dyDescent="0.25">
      <c r="A12" s="13" t="s">
        <v>514</v>
      </c>
    </row>
    <row r="13" spans="1:4" x14ac:dyDescent="0.25">
      <c r="A13" s="17" t="s">
        <v>515</v>
      </c>
      <c r="B13" s="17" t="s">
        <v>6</v>
      </c>
      <c r="C13" s="17" t="s">
        <v>7</v>
      </c>
      <c r="D13" s="17" t="s">
        <v>8</v>
      </c>
    </row>
    <row r="14" spans="1:4" x14ac:dyDescent="0.25">
      <c r="A14" s="18" t="s">
        <v>516</v>
      </c>
      <c r="B14" s="19">
        <f>COUNTIF('Test Cases'!$G$2:$G$114,"Pass")</f>
      </c>
      <c r="C14" s="19">
        <f>COUNTIF('Test Cases'!$H$2:$H$114,"Pass")</f>
      </c>
      <c r="D14" s="19">
        <f>COUNTIF('Test Cases'!$I$2:$I$114,"Pass")</f>
      </c>
    </row>
    <row r="15" spans="1:4" x14ac:dyDescent="0.25">
      <c r="A15" s="18" t="s">
        <v>517</v>
      </c>
      <c r="B15" s="19">
        <f>COUNTIF('Test Cases'!$G$2:$G$114,"Fail")</f>
      </c>
      <c r="C15" s="19">
        <f>COUNTIF('Test Cases'!$H$2:$H$114,"Fail")</f>
      </c>
      <c r="D15" s="19">
        <f>COUNTIF('Test Cases'!$I$2:$I$114,"Fail")</f>
      </c>
    </row>
    <row r="16" spans="1:4" x14ac:dyDescent="0.25">
      <c r="A16" s="18" t="s">
        <v>518</v>
      </c>
      <c r="B16" s="19">
        <f>COUNTIF('Test Cases'!$G$2:$G$114,"Blocked")</f>
      </c>
      <c r="C16" s="19">
        <f>COUNTIF('Test Cases'!$H$2:$H$114,"Blocked")</f>
      </c>
      <c r="D16" s="19">
        <f>COUNTIF('Test Cases'!$I$2:$I$114,"Blocked")</f>
      </c>
    </row>
    <row r="17" spans="1:4" x14ac:dyDescent="0.25">
      <c r="A17" s="18" t="s">
        <v>519</v>
      </c>
      <c r="B17" s="19">
        <f>COUNTA('Test Cases'!$A$2:$A$114)-COUNTIF('Test Cases'!$G$2:$G$114,"Pass")-COUNTIF('Test Cases'!$G$2:$G$114,"Fail")-COUNTIF('Test Cases'!$G$2:$G$114,"Blocked")</f>
      </c>
      <c r="C17" s="19">
        <f>COUNTA('Test Cases'!$A$2:$A$114)-COUNTIF('Test Cases'!$H$2:$H$114,"Pass")-COUNTIF('Test Cases'!$H$2:$H$114,"Fail")-COUNTIF('Test Cases'!$H$2:$H$114,"Blocked")</f>
      </c>
      <c r="D17" s="19">
        <f>COUNTA('Test Cases'!$A$2:$A$114)-COUNTIF('Test Cases'!$I$2:$I$114,"Pass")-COUNTIF('Test Cases'!$I$2:$I$114,"Fail")-COUNTIF('Test Cases'!$I$2:$I$114,"Blocked")</f>
      </c>
    </row>
    <row r="18" spans="1:4" x14ac:dyDescent="0.25">
      <c r="A18" s="18" t="s">
        <v>520</v>
      </c>
      <c r="B18" s="19">
        <f>COUNTIF('Regression'!$E$2:$E$12,"Pass")</f>
      </c>
      <c r="C18" s="19">
        <f>COUNTIF('Regression'!$F$2:$F$12,"Pass")</f>
      </c>
      <c r="D18" s="19">
        <f>COUNTIF('Regression'!$G$2:$G$12,"Pass")</f>
      </c>
    </row>
    <row r="19" spans="1:4" x14ac:dyDescent="0.25">
      <c r="A19" s="18" t="s">
        <v>521</v>
      </c>
      <c r="B19" s="19">
        <f>COUNTIF('Regression'!$E$2:$E$12,"Fail")</f>
      </c>
      <c r="C19" s="19">
        <f>COUNTIF('Regression'!$F$2:$F$12,"Fail")</f>
      </c>
      <c r="D19" s="19">
        <f>COUNTIF('Regression'!$G$2:$G$12,"Fail")</f>
      </c>
    </row>
    <row r="20" spans="1:4" x14ac:dyDescent="0.25">
      <c r="A20" s="18" t="s">
        <v>522</v>
      </c>
      <c r="B20" s="20">
        <f>IFERROR((COUNTIF('Test Cases'!$G$2:$G$114,"Pass")+COUNTIF('Test Cases'!$G$2:$G$114,"Fail")+COUNTIF('Test Cases'!$G$2:$G$114,"Blocked"))/COUNTA('Test Cases'!$A$2:$A$114),0)</f>
      </c>
      <c r="C20" s="20">
        <f>IFERROR((COUNTIF('Test Cases'!$H$2:$H$114,"Pass")+COUNTIF('Test Cases'!$H$2:$H$114,"Fail")+COUNTIF('Test Cases'!$H$2:$H$114,"Blocked"))/COUNTA('Test Cases'!$A$2:$A$114),0)</f>
      </c>
      <c r="D20" s="20">
        <f>IFERROR((COUNTIF('Test Cases'!$I$2:$I$114,"Pass")+COUNTIF('Test Cases'!$I$2:$I$114,"Fail")+COUNTIF('Test Cases'!$I$2:$I$114,"Blocked"))/COUNTA('Test Cases'!$A$2:$A$114),0)</f>
      </c>
    </row>
    <row r="22" spans="1:2" x14ac:dyDescent="0.25">
      <c r="A22" s="14" t="s">
        <v>523</v>
      </c>
      <c r="B22" s="21">
        <f>COUNTA('Test Cases'!$A$2:$A$114)</f>
      </c>
    </row>
    <row r="23" spans="1:2" x14ac:dyDescent="0.25">
      <c r="A23" s="14" t="s">
        <v>524</v>
      </c>
      <c r="B23" s="21">
        <f>COUNTA(Regression!$A$2:$A$12)</f>
      </c>
    </row>
    <row r="25" spans="1:1" x14ac:dyDescent="0.25">
      <c r="A25" s="13" t="s">
        <v>525</v>
      </c>
    </row>
    <row r="26" spans="1:2" x14ac:dyDescent="0.25">
      <c r="A26" s="14" t="s">
        <v>12</v>
      </c>
      <c r="B26" s="22" t="s">
        <v>526</v>
      </c>
    </row>
    <row r="27" spans="1:2" x14ac:dyDescent="0.25">
      <c r="A27" s="14" t="s">
        <v>30</v>
      </c>
      <c r="B27" s="22" t="s">
        <v>527</v>
      </c>
    </row>
    <row r="28" spans="1:2" x14ac:dyDescent="0.25">
      <c r="A28" s="14" t="s">
        <v>60</v>
      </c>
      <c r="B28" s="22" t="s">
        <v>528</v>
      </c>
    </row>
    <row r="30" spans="1:1" x14ac:dyDescent="0.25">
      <c r="A30" s="12" t="s">
        <v>529</v>
      </c>
    </row>
    <row r="31" spans="1:1" x14ac:dyDescent="0.25">
      <c r="A31" s="12" t="s">
        <v>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Regression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WatchParty Sync</dc:creator>
  <dc:title/>
  <dc:subject/>
  <dc:description/>
  <cp:keywords/>
  <cp:category/>
  <cp:lastModifiedBy>Unknown</cp:lastModifiedBy>
  <dcterms:created xsi:type="dcterms:W3CDTF">2026-08-17T13:54:36Z</dcterms:created>
  <dcterms:modified xsi:type="dcterms:W3CDTF">2026-08-17T13:54:36Z</dcterms:modified>
</cp:coreProperties>
</file>